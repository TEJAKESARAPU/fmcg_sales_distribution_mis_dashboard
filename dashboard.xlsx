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D:\my study\FMCG_MIS_Dashboard\"/>
    </mc:Choice>
  </mc:AlternateContent>
  <xr:revisionPtr revIDLastSave="0" documentId="13_ncr:1_{3B9B8FBC-7218-447C-B384-5B1B3E736FEF}" xr6:coauthVersionLast="47" xr6:coauthVersionMax="47" xr10:uidLastSave="{00000000-0000-0000-0000-000000000000}"/>
  <bookViews>
    <workbookView xWindow="-98" yWindow="-98" windowWidth="28996" windowHeight="15675" xr2:uid="{00000000-000D-0000-FFFF-FFFF00000000}"/>
  </bookViews>
  <sheets>
    <sheet name="Dashboard" sheetId="1" r:id="rId1"/>
    <sheet name="Sales Data" sheetId="2" r:id="rId2"/>
    <sheet name="Inventory" sheetId="3" r:id="rId3"/>
    <sheet name="Pivot Tables" sheetId="8" r:id="rId4"/>
  </sheets>
  <definedNames>
    <definedName name="Slicer_Product_Category">#N/A</definedName>
    <definedName name="Slicer_Product_Name">#N/A</definedName>
    <definedName name="Slicer_Region">#N/A</definedName>
    <definedName name="Slicer_St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5" i="8" l="1"/>
  <c r="N16" i="8"/>
  <c r="N17" i="8"/>
  <c r="N18" i="8"/>
  <c r="C16" i="8"/>
  <c r="C17" i="8"/>
  <c r="C18" i="8"/>
  <c r="C19" i="8"/>
  <c r="C20" i="8"/>
  <c r="C21" i="8"/>
  <c r="H9" i="8"/>
  <c r="H8" i="8"/>
  <c r="H7" i="8"/>
  <c r="H6" i="8"/>
  <c r="I5" i="1" s="1"/>
  <c r="H5" i="8"/>
  <c r="F7" i="3"/>
  <c r="F6" i="3"/>
  <c r="F5" i="3"/>
  <c r="F4" i="3"/>
  <c r="F3" i="3"/>
  <c r="F2" i="3"/>
  <c r="O5" i="1"/>
  <c r="L5" i="1"/>
  <c r="F5" i="1"/>
</calcChain>
</file>

<file path=xl/sharedStrings.xml><?xml version="1.0" encoding="utf-8"?>
<sst xmlns="http://schemas.openxmlformats.org/spreadsheetml/2006/main" count="9118" uniqueCount="1092">
  <si>
    <t>Performance Analytics &amp; Sales Trends | H1 2026 (Jan - Jun)</t>
  </si>
  <si>
    <t>TOTAL NET SALES</t>
  </si>
  <si>
    <t>Category Performance</t>
  </si>
  <si>
    <t>Regional Performance vs Target</t>
  </si>
  <si>
    <t>Monthly Sales Trend (2026)</t>
  </si>
  <si>
    <t>Product Performance Breakdown</t>
  </si>
  <si>
    <t>Product Category</t>
  </si>
  <si>
    <t>Net Sales</t>
  </si>
  <si>
    <t>Region</t>
  </si>
  <si>
    <t>Target Sales</t>
  </si>
  <si>
    <t>Ach %</t>
  </si>
  <si>
    <t>MoM Growth</t>
  </si>
  <si>
    <t>Product Name</t>
  </si>
  <si>
    <t>Units Sold</t>
  </si>
  <si>
    <t>Beverages</t>
  </si>
  <si>
    <t>East</t>
  </si>
  <si>
    <t>Jan 2026</t>
  </si>
  <si>
    <t>-</t>
  </si>
  <si>
    <t>Coffee</t>
  </si>
  <si>
    <t>TARGET ACHIEVEMENT %</t>
  </si>
  <si>
    <t>Personal Care</t>
  </si>
  <si>
    <t>West</t>
  </si>
  <si>
    <t>Feb 2026</t>
  </si>
  <si>
    <t>Shampoo</t>
  </si>
  <si>
    <t>Snacks</t>
  </si>
  <si>
    <t>North</t>
  </si>
  <si>
    <t>Mar 2026</t>
  </si>
  <si>
    <t>Tea</t>
  </si>
  <si>
    <t>South</t>
  </si>
  <si>
    <t>Apr 2026</t>
  </si>
  <si>
    <t>Chips</t>
  </si>
  <si>
    <t>TOTAL UNITS SOLD</t>
  </si>
  <si>
    <t>May 2026</t>
  </si>
  <si>
    <t>Soap</t>
  </si>
  <si>
    <t>Jun 2026</t>
  </si>
  <si>
    <t>Biscuits</t>
  </si>
  <si>
    <t>PENDING COLLECTION</t>
  </si>
  <si>
    <t>Date</t>
  </si>
  <si>
    <t>Invoice No</t>
  </si>
  <si>
    <t>Distributor</t>
  </si>
  <si>
    <t>State</t>
  </si>
  <si>
    <t>Sales Executive</t>
  </si>
  <si>
    <t>Unit Price</t>
  </si>
  <si>
    <t>Discount %</t>
  </si>
  <si>
    <t>Gross Sales</t>
  </si>
  <si>
    <t>Achievement %</t>
  </si>
  <si>
    <t>Payment Status</t>
  </si>
  <si>
    <t>Month Name</t>
  </si>
  <si>
    <t>INV00002</t>
  </si>
  <si>
    <t>Future</t>
  </si>
  <si>
    <t>GJ</t>
  </si>
  <si>
    <t>Akhil</t>
  </si>
  <si>
    <t>Paid</t>
  </si>
  <si>
    <t>INV00003</t>
  </si>
  <si>
    <t>Elite</t>
  </si>
  <si>
    <t>WB</t>
  </si>
  <si>
    <t>Sneha</t>
  </si>
  <si>
    <t>INV00004</t>
  </si>
  <si>
    <t>Alpha</t>
  </si>
  <si>
    <t>AP</t>
  </si>
  <si>
    <t>Priya</t>
  </si>
  <si>
    <t>INV00005</t>
  </si>
  <si>
    <t>OD</t>
  </si>
  <si>
    <t>INV00006</t>
  </si>
  <si>
    <t>Central</t>
  </si>
  <si>
    <t>TN</t>
  </si>
  <si>
    <t>INV00007</t>
  </si>
  <si>
    <t>Bravo</t>
  </si>
  <si>
    <t>PB</t>
  </si>
  <si>
    <t>INV00008</t>
  </si>
  <si>
    <t>TS</t>
  </si>
  <si>
    <t>Kiran</t>
  </si>
  <si>
    <t>INV00009</t>
  </si>
  <si>
    <t>Pending</t>
  </si>
  <si>
    <t>INV00010</t>
  </si>
  <si>
    <t>Delta</t>
  </si>
  <si>
    <t>INV00011</t>
  </si>
  <si>
    <t>INV00012</t>
  </si>
  <si>
    <t>Ravi</t>
  </si>
  <si>
    <t>INV00013</t>
  </si>
  <si>
    <t>MH</t>
  </si>
  <si>
    <t>INV00014</t>
  </si>
  <si>
    <t>KA</t>
  </si>
  <si>
    <t>INV00015</t>
  </si>
  <si>
    <t>INV00016</t>
  </si>
  <si>
    <t>INV00017</t>
  </si>
  <si>
    <t>INV00018</t>
  </si>
  <si>
    <t>INV00019</t>
  </si>
  <si>
    <t>INV00020</t>
  </si>
  <si>
    <t>INV00021</t>
  </si>
  <si>
    <t>INV00022</t>
  </si>
  <si>
    <t>INV00023</t>
  </si>
  <si>
    <t>INV00024</t>
  </si>
  <si>
    <t>INV00025</t>
  </si>
  <si>
    <t>INV00026</t>
  </si>
  <si>
    <t>Neha</t>
  </si>
  <si>
    <t>INV00027</t>
  </si>
  <si>
    <t>INV00028</t>
  </si>
  <si>
    <t>DL</t>
  </si>
  <si>
    <t>INV00029</t>
  </si>
  <si>
    <t>INV00030</t>
  </si>
  <si>
    <t>INV00031</t>
  </si>
  <si>
    <t>INV00032</t>
  </si>
  <si>
    <t>INV00033</t>
  </si>
  <si>
    <t>HR</t>
  </si>
  <si>
    <t>INV00034</t>
  </si>
  <si>
    <t>INV00035</t>
  </si>
  <si>
    <t>INV00036</t>
  </si>
  <si>
    <t>INV00037</t>
  </si>
  <si>
    <t>INV00038</t>
  </si>
  <si>
    <t>INV00039</t>
  </si>
  <si>
    <t>INV00040</t>
  </si>
  <si>
    <t>INV00041</t>
  </si>
  <si>
    <t>INV00042</t>
  </si>
  <si>
    <t>INV00043</t>
  </si>
  <si>
    <t>INV00044</t>
  </si>
  <si>
    <t>INV00045</t>
  </si>
  <si>
    <t>INV00046</t>
  </si>
  <si>
    <t>INV00047</t>
  </si>
  <si>
    <t>INV00048</t>
  </si>
  <si>
    <t>INV00049</t>
  </si>
  <si>
    <t>INV00050</t>
  </si>
  <si>
    <t>INV00051</t>
  </si>
  <si>
    <t>INV00052</t>
  </si>
  <si>
    <t>INV00053</t>
  </si>
  <si>
    <t>INV00054</t>
  </si>
  <si>
    <t>INV00055</t>
  </si>
  <si>
    <t>INV00056</t>
  </si>
  <si>
    <t>INV00057</t>
  </si>
  <si>
    <t>INV00058</t>
  </si>
  <si>
    <t>INV00059</t>
  </si>
  <si>
    <t>INV00060</t>
  </si>
  <si>
    <t>INV00061</t>
  </si>
  <si>
    <t>INV00062</t>
  </si>
  <si>
    <t>INV00063</t>
  </si>
  <si>
    <t>INV00064</t>
  </si>
  <si>
    <t>INV00065</t>
  </si>
  <si>
    <t>INV00066</t>
  </si>
  <si>
    <t>INV00067</t>
  </si>
  <si>
    <t>INV00068</t>
  </si>
  <si>
    <t>INV00069</t>
  </si>
  <si>
    <t>INV00070</t>
  </si>
  <si>
    <t>INV00071</t>
  </si>
  <si>
    <t>INV00072</t>
  </si>
  <si>
    <t>INV00073</t>
  </si>
  <si>
    <t>INV00074</t>
  </si>
  <si>
    <t>INV00075</t>
  </si>
  <si>
    <t>INV00076</t>
  </si>
  <si>
    <t>INV00077</t>
  </si>
  <si>
    <t>INV00078</t>
  </si>
  <si>
    <t>INV00079</t>
  </si>
  <si>
    <t>INV00080</t>
  </si>
  <si>
    <t>INV00081</t>
  </si>
  <si>
    <t>INV00082</t>
  </si>
  <si>
    <t>INV00083</t>
  </si>
  <si>
    <t>INV00084</t>
  </si>
  <si>
    <t>INV00085</t>
  </si>
  <si>
    <t>INV00086</t>
  </si>
  <si>
    <t>INV00087</t>
  </si>
  <si>
    <t>INV00088</t>
  </si>
  <si>
    <t>INV00089</t>
  </si>
  <si>
    <t>INV00090</t>
  </si>
  <si>
    <t>INV00091</t>
  </si>
  <si>
    <t>INV00092</t>
  </si>
  <si>
    <t>INV00093</t>
  </si>
  <si>
    <t>INV00094</t>
  </si>
  <si>
    <t>INV00095</t>
  </si>
  <si>
    <t>INV00096</t>
  </si>
  <si>
    <t>INV00097</t>
  </si>
  <si>
    <t>INV00098</t>
  </si>
  <si>
    <t>INV00099</t>
  </si>
  <si>
    <t>INV00100</t>
  </si>
  <si>
    <t>INV00101</t>
  </si>
  <si>
    <t>INV00102</t>
  </si>
  <si>
    <t>INV00103</t>
  </si>
  <si>
    <t>INV00104</t>
  </si>
  <si>
    <t>INV00105</t>
  </si>
  <si>
    <t>INV00106</t>
  </si>
  <si>
    <t>INV00107</t>
  </si>
  <si>
    <t>INV00108</t>
  </si>
  <si>
    <t>INV00109</t>
  </si>
  <si>
    <t>INV00110</t>
  </si>
  <si>
    <t>INV00111</t>
  </si>
  <si>
    <t>INV00112</t>
  </si>
  <si>
    <t>INV00113</t>
  </si>
  <si>
    <t>INV00114</t>
  </si>
  <si>
    <t>INV00115</t>
  </si>
  <si>
    <t>INV00116</t>
  </si>
  <si>
    <t>INV00117</t>
  </si>
  <si>
    <t>INV00118</t>
  </si>
  <si>
    <t>INV00119</t>
  </si>
  <si>
    <t>INV00120</t>
  </si>
  <si>
    <t>INV00121</t>
  </si>
  <si>
    <t>INV00122</t>
  </si>
  <si>
    <t>INV00123</t>
  </si>
  <si>
    <t>INV00124</t>
  </si>
  <si>
    <t>INV00125</t>
  </si>
  <si>
    <t>INV00126</t>
  </si>
  <si>
    <t>INV00127</t>
  </si>
  <si>
    <t>INV00128</t>
  </si>
  <si>
    <t>INV00129</t>
  </si>
  <si>
    <t>INV00130</t>
  </si>
  <si>
    <t>INV00131</t>
  </si>
  <si>
    <t>INV00132</t>
  </si>
  <si>
    <t>INV00133</t>
  </si>
  <si>
    <t>INV00134</t>
  </si>
  <si>
    <t>INV00135</t>
  </si>
  <si>
    <t>INV00136</t>
  </si>
  <si>
    <t>INV00137</t>
  </si>
  <si>
    <t>INV00138</t>
  </si>
  <si>
    <t>INV00139</t>
  </si>
  <si>
    <t>INV00140</t>
  </si>
  <si>
    <t>INV00141</t>
  </si>
  <si>
    <t>INV00142</t>
  </si>
  <si>
    <t>INV00143</t>
  </si>
  <si>
    <t>INV00144</t>
  </si>
  <si>
    <t>INV00145</t>
  </si>
  <si>
    <t>INV00146</t>
  </si>
  <si>
    <t>INV00147</t>
  </si>
  <si>
    <t>INV00148</t>
  </si>
  <si>
    <t>INV00149</t>
  </si>
  <si>
    <t>INV00150</t>
  </si>
  <si>
    <t>INV00151</t>
  </si>
  <si>
    <t>INV00152</t>
  </si>
  <si>
    <t>INV00153</t>
  </si>
  <si>
    <t>INV00154</t>
  </si>
  <si>
    <t>INV00155</t>
  </si>
  <si>
    <t>INV00156</t>
  </si>
  <si>
    <t>INV00157</t>
  </si>
  <si>
    <t>INV00158</t>
  </si>
  <si>
    <t>INV00159</t>
  </si>
  <si>
    <t>INV00160</t>
  </si>
  <si>
    <t>INV00161</t>
  </si>
  <si>
    <t>INV00162</t>
  </si>
  <si>
    <t>INV00163</t>
  </si>
  <si>
    <t>INV00164</t>
  </si>
  <si>
    <t>INV00165</t>
  </si>
  <si>
    <t>INV00166</t>
  </si>
  <si>
    <t>INV00167</t>
  </si>
  <si>
    <t>INV00168</t>
  </si>
  <si>
    <t>INV00169</t>
  </si>
  <si>
    <t>INV00170</t>
  </si>
  <si>
    <t>INV00171</t>
  </si>
  <si>
    <t>INV00172</t>
  </si>
  <si>
    <t>INV00173</t>
  </si>
  <si>
    <t>INV00174</t>
  </si>
  <si>
    <t>INV00175</t>
  </si>
  <si>
    <t>INV00176</t>
  </si>
  <si>
    <t>INV00177</t>
  </si>
  <si>
    <t>INV00178</t>
  </si>
  <si>
    <t>INV00179</t>
  </si>
  <si>
    <t>INV00180</t>
  </si>
  <si>
    <t>INV00181</t>
  </si>
  <si>
    <t>INV00182</t>
  </si>
  <si>
    <t>INV00183</t>
  </si>
  <si>
    <t>INV00184</t>
  </si>
  <si>
    <t>INV00185</t>
  </si>
  <si>
    <t>INV00186</t>
  </si>
  <si>
    <t>INV00187</t>
  </si>
  <si>
    <t>INV00188</t>
  </si>
  <si>
    <t>INV00189</t>
  </si>
  <si>
    <t>INV00190</t>
  </si>
  <si>
    <t>INV00191</t>
  </si>
  <si>
    <t>INV00192</t>
  </si>
  <si>
    <t>INV00193</t>
  </si>
  <si>
    <t>INV00194</t>
  </si>
  <si>
    <t>INV00195</t>
  </si>
  <si>
    <t>INV00196</t>
  </si>
  <si>
    <t>INV00197</t>
  </si>
  <si>
    <t>INV00198</t>
  </si>
  <si>
    <t>INV00199</t>
  </si>
  <si>
    <t>INV00200</t>
  </si>
  <si>
    <t>INV00201</t>
  </si>
  <si>
    <t>INV00202</t>
  </si>
  <si>
    <t>INV00203</t>
  </si>
  <si>
    <t>INV00204</t>
  </si>
  <si>
    <t>INV00205</t>
  </si>
  <si>
    <t>INV00206</t>
  </si>
  <si>
    <t>INV00207</t>
  </si>
  <si>
    <t>INV00208</t>
  </si>
  <si>
    <t>INV00209</t>
  </si>
  <si>
    <t>INV00210</t>
  </si>
  <si>
    <t>INV00211</t>
  </si>
  <si>
    <t>INV00212</t>
  </si>
  <si>
    <t>INV00213</t>
  </si>
  <si>
    <t>INV00214</t>
  </si>
  <si>
    <t>INV00215</t>
  </si>
  <si>
    <t>INV00216</t>
  </si>
  <si>
    <t>INV00217</t>
  </si>
  <si>
    <t>INV00218</t>
  </si>
  <si>
    <t>INV00219</t>
  </si>
  <si>
    <t>INV00220</t>
  </si>
  <si>
    <t>INV00221</t>
  </si>
  <si>
    <t>INV00222</t>
  </si>
  <si>
    <t>INV00223</t>
  </si>
  <si>
    <t>INV00224</t>
  </si>
  <si>
    <t>INV00225</t>
  </si>
  <si>
    <t>INV00226</t>
  </si>
  <si>
    <t>INV00227</t>
  </si>
  <si>
    <t>INV00228</t>
  </si>
  <si>
    <t>INV00229</t>
  </si>
  <si>
    <t>INV00230</t>
  </si>
  <si>
    <t>INV00231</t>
  </si>
  <si>
    <t>INV00232</t>
  </si>
  <si>
    <t>INV00233</t>
  </si>
  <si>
    <t>INV00234</t>
  </si>
  <si>
    <t>INV00235</t>
  </si>
  <si>
    <t>INV00236</t>
  </si>
  <si>
    <t>INV00237</t>
  </si>
  <si>
    <t>INV00238</t>
  </si>
  <si>
    <t>INV00239</t>
  </si>
  <si>
    <t>INV00240</t>
  </si>
  <si>
    <t>INV00241</t>
  </si>
  <si>
    <t>INV00242</t>
  </si>
  <si>
    <t>INV00243</t>
  </si>
  <si>
    <t>INV00244</t>
  </si>
  <si>
    <t>INV00245</t>
  </si>
  <si>
    <t>INV00246</t>
  </si>
  <si>
    <t>INV00247</t>
  </si>
  <si>
    <t>INV00248</t>
  </si>
  <si>
    <t>INV00249</t>
  </si>
  <si>
    <t>INV00250</t>
  </si>
  <si>
    <t>INV00251</t>
  </si>
  <si>
    <t>INV00252</t>
  </si>
  <si>
    <t>INV00253</t>
  </si>
  <si>
    <t>INV00254</t>
  </si>
  <si>
    <t>INV00255</t>
  </si>
  <si>
    <t>INV00256</t>
  </si>
  <si>
    <t>INV00257</t>
  </si>
  <si>
    <t>INV00258</t>
  </si>
  <si>
    <t>INV00259</t>
  </si>
  <si>
    <t>INV00260</t>
  </si>
  <si>
    <t>INV00261</t>
  </si>
  <si>
    <t>INV00262</t>
  </si>
  <si>
    <t>INV00263</t>
  </si>
  <si>
    <t>INV00264</t>
  </si>
  <si>
    <t>INV00265</t>
  </si>
  <si>
    <t>INV00266</t>
  </si>
  <si>
    <t>INV00267</t>
  </si>
  <si>
    <t>INV00268</t>
  </si>
  <si>
    <t>INV00269</t>
  </si>
  <si>
    <t>INV00270</t>
  </si>
  <si>
    <t>INV00271</t>
  </si>
  <si>
    <t>INV00272</t>
  </si>
  <si>
    <t>INV00273</t>
  </si>
  <si>
    <t>INV00274</t>
  </si>
  <si>
    <t>INV00275</t>
  </si>
  <si>
    <t>INV00276</t>
  </si>
  <si>
    <t>INV00277</t>
  </si>
  <si>
    <t>INV00278</t>
  </si>
  <si>
    <t>INV00279</t>
  </si>
  <si>
    <t>INV00280</t>
  </si>
  <si>
    <t>INV00281</t>
  </si>
  <si>
    <t>INV00282</t>
  </si>
  <si>
    <t>INV00283</t>
  </si>
  <si>
    <t>INV00284</t>
  </si>
  <si>
    <t>INV00285</t>
  </si>
  <si>
    <t>INV00286</t>
  </si>
  <si>
    <t>INV00287</t>
  </si>
  <si>
    <t>INV00288</t>
  </si>
  <si>
    <t>INV00289</t>
  </si>
  <si>
    <t>INV00290</t>
  </si>
  <si>
    <t>INV00291</t>
  </si>
  <si>
    <t>INV00292</t>
  </si>
  <si>
    <t>INV00293</t>
  </si>
  <si>
    <t>INV00294</t>
  </si>
  <si>
    <t>INV00295</t>
  </si>
  <si>
    <t>INV00296</t>
  </si>
  <si>
    <t>INV00297</t>
  </si>
  <si>
    <t>INV00298</t>
  </si>
  <si>
    <t>INV00299</t>
  </si>
  <si>
    <t>INV00300</t>
  </si>
  <si>
    <t>INV00301</t>
  </si>
  <si>
    <t>INV00302</t>
  </si>
  <si>
    <t>INV00303</t>
  </si>
  <si>
    <t>INV00304</t>
  </si>
  <si>
    <t>INV00305</t>
  </si>
  <si>
    <t>INV00306</t>
  </si>
  <si>
    <t>INV00307</t>
  </si>
  <si>
    <t>INV00308</t>
  </si>
  <si>
    <t>INV00309</t>
  </si>
  <si>
    <t>INV00310</t>
  </si>
  <si>
    <t>INV00311</t>
  </si>
  <si>
    <t>INV00312</t>
  </si>
  <si>
    <t>INV00313</t>
  </si>
  <si>
    <t>INV00314</t>
  </si>
  <si>
    <t>INV00315</t>
  </si>
  <si>
    <t>INV00316</t>
  </si>
  <si>
    <t>INV00317</t>
  </si>
  <si>
    <t>INV00318</t>
  </si>
  <si>
    <t>INV00319</t>
  </si>
  <si>
    <t>INV00320</t>
  </si>
  <si>
    <t>INV00321</t>
  </si>
  <si>
    <t>INV00322</t>
  </si>
  <si>
    <t>INV00323</t>
  </si>
  <si>
    <t>INV00324</t>
  </si>
  <si>
    <t>INV00325</t>
  </si>
  <si>
    <t>INV00326</t>
  </si>
  <si>
    <t>INV00327</t>
  </si>
  <si>
    <t>INV00328</t>
  </si>
  <si>
    <t>INV00329</t>
  </si>
  <si>
    <t>INV00330</t>
  </si>
  <si>
    <t>INV00331</t>
  </si>
  <si>
    <t>INV00332</t>
  </si>
  <si>
    <t>INV00333</t>
  </si>
  <si>
    <t>INV00334</t>
  </si>
  <si>
    <t>INV00335</t>
  </si>
  <si>
    <t>INV00336</t>
  </si>
  <si>
    <t>INV00337</t>
  </si>
  <si>
    <t>INV00338</t>
  </si>
  <si>
    <t>INV00339</t>
  </si>
  <si>
    <t>INV00340</t>
  </si>
  <si>
    <t>INV00341</t>
  </si>
  <si>
    <t>INV00342</t>
  </si>
  <si>
    <t>INV00343</t>
  </si>
  <si>
    <t>INV00344</t>
  </si>
  <si>
    <t>INV00345</t>
  </si>
  <si>
    <t>INV00346</t>
  </si>
  <si>
    <t>INV00347</t>
  </si>
  <si>
    <t>INV00348</t>
  </si>
  <si>
    <t>INV00349</t>
  </si>
  <si>
    <t>INV00350</t>
  </si>
  <si>
    <t>INV00351</t>
  </si>
  <si>
    <t>INV00352</t>
  </si>
  <si>
    <t>INV00353</t>
  </si>
  <si>
    <t>INV00354</t>
  </si>
  <si>
    <t>INV00355</t>
  </si>
  <si>
    <t>INV00356</t>
  </si>
  <si>
    <t>INV00357</t>
  </si>
  <si>
    <t>INV00358</t>
  </si>
  <si>
    <t>INV00359</t>
  </si>
  <si>
    <t>INV00360</t>
  </si>
  <si>
    <t>INV00361</t>
  </si>
  <si>
    <t>INV00362</t>
  </si>
  <si>
    <t>INV00363</t>
  </si>
  <si>
    <t>INV00364</t>
  </si>
  <si>
    <t>INV00365</t>
  </si>
  <si>
    <t>INV00366</t>
  </si>
  <si>
    <t>INV00367</t>
  </si>
  <si>
    <t>INV00368</t>
  </si>
  <si>
    <t>INV00369</t>
  </si>
  <si>
    <t>INV00370</t>
  </si>
  <si>
    <t>INV00371</t>
  </si>
  <si>
    <t>INV00372</t>
  </si>
  <si>
    <t>INV00373</t>
  </si>
  <si>
    <t>INV00374</t>
  </si>
  <si>
    <t>INV00375</t>
  </si>
  <si>
    <t>INV00376</t>
  </si>
  <si>
    <t>INV00377</t>
  </si>
  <si>
    <t>INV00378</t>
  </si>
  <si>
    <t>INV00379</t>
  </si>
  <si>
    <t>INV00380</t>
  </si>
  <si>
    <t>INV00381</t>
  </si>
  <si>
    <t>INV00382</t>
  </si>
  <si>
    <t>INV00383</t>
  </si>
  <si>
    <t>INV00384</t>
  </si>
  <si>
    <t>INV00385</t>
  </si>
  <si>
    <t>INV00386</t>
  </si>
  <si>
    <t>INV00387</t>
  </si>
  <si>
    <t>INV00388</t>
  </si>
  <si>
    <t>INV00389</t>
  </si>
  <si>
    <t>INV00390</t>
  </si>
  <si>
    <t>INV00391</t>
  </si>
  <si>
    <t>INV00392</t>
  </si>
  <si>
    <t>INV00393</t>
  </si>
  <si>
    <t>INV00394</t>
  </si>
  <si>
    <t>INV00395</t>
  </si>
  <si>
    <t>INV00396</t>
  </si>
  <si>
    <t>INV00397</t>
  </si>
  <si>
    <t>INV00398</t>
  </si>
  <si>
    <t>INV00399</t>
  </si>
  <si>
    <t>INV00400</t>
  </si>
  <si>
    <t>INV00401</t>
  </si>
  <si>
    <t>INV00402</t>
  </si>
  <si>
    <t>INV00403</t>
  </si>
  <si>
    <t>INV00404</t>
  </si>
  <si>
    <t>INV00405</t>
  </si>
  <si>
    <t>INV00406</t>
  </si>
  <si>
    <t>INV00407</t>
  </si>
  <si>
    <t>INV00408</t>
  </si>
  <si>
    <t>INV00409</t>
  </si>
  <si>
    <t>INV00410</t>
  </si>
  <si>
    <t>INV00411</t>
  </si>
  <si>
    <t>INV00412</t>
  </si>
  <si>
    <t>INV00413</t>
  </si>
  <si>
    <t>INV00414</t>
  </si>
  <si>
    <t>INV00415</t>
  </si>
  <si>
    <t>INV00416</t>
  </si>
  <si>
    <t>INV00417</t>
  </si>
  <si>
    <t>INV00418</t>
  </si>
  <si>
    <t>INV00419</t>
  </si>
  <si>
    <t>INV00420</t>
  </si>
  <si>
    <t>INV00421</t>
  </si>
  <si>
    <t>INV00422</t>
  </si>
  <si>
    <t>INV00423</t>
  </si>
  <si>
    <t>INV00424</t>
  </si>
  <si>
    <t>INV00425</t>
  </si>
  <si>
    <t>INV00426</t>
  </si>
  <si>
    <t>INV00427</t>
  </si>
  <si>
    <t>INV00428</t>
  </si>
  <si>
    <t>INV00429</t>
  </si>
  <si>
    <t>INV00430</t>
  </si>
  <si>
    <t>INV00431</t>
  </si>
  <si>
    <t>INV00432</t>
  </si>
  <si>
    <t>INV00433</t>
  </si>
  <si>
    <t>INV00434</t>
  </si>
  <si>
    <t>INV00435</t>
  </si>
  <si>
    <t>INV00436</t>
  </si>
  <si>
    <t>INV00437</t>
  </si>
  <si>
    <t>INV00438</t>
  </si>
  <si>
    <t>INV00439</t>
  </si>
  <si>
    <t>INV00440</t>
  </si>
  <si>
    <t>INV00441</t>
  </si>
  <si>
    <t>INV00442</t>
  </si>
  <si>
    <t>INV00443</t>
  </si>
  <si>
    <t>INV00444</t>
  </si>
  <si>
    <t>INV00445</t>
  </si>
  <si>
    <t>INV00446</t>
  </si>
  <si>
    <t>INV00447</t>
  </si>
  <si>
    <t>INV00448</t>
  </si>
  <si>
    <t>INV00449</t>
  </si>
  <si>
    <t>INV00450</t>
  </si>
  <si>
    <t>INV00451</t>
  </si>
  <si>
    <t>INV00452</t>
  </si>
  <si>
    <t>INV00453</t>
  </si>
  <si>
    <t>INV00454</t>
  </si>
  <si>
    <t>INV00455</t>
  </si>
  <si>
    <t>INV00456</t>
  </si>
  <si>
    <t>INV00457</t>
  </si>
  <si>
    <t>INV00458</t>
  </si>
  <si>
    <t>INV00459</t>
  </si>
  <si>
    <t>INV00460</t>
  </si>
  <si>
    <t>INV00461</t>
  </si>
  <si>
    <t>INV00462</t>
  </si>
  <si>
    <t>INV00463</t>
  </si>
  <si>
    <t>INV00464</t>
  </si>
  <si>
    <t>INV00465</t>
  </si>
  <si>
    <t>INV00466</t>
  </si>
  <si>
    <t>INV00467</t>
  </si>
  <si>
    <t>INV00468</t>
  </si>
  <si>
    <t>INV00469</t>
  </si>
  <si>
    <t>INV00470</t>
  </si>
  <si>
    <t>INV00471</t>
  </si>
  <si>
    <t>INV00472</t>
  </si>
  <si>
    <t>INV00473</t>
  </si>
  <si>
    <t>INV00474</t>
  </si>
  <si>
    <t>INV00475</t>
  </si>
  <si>
    <t>INV00476</t>
  </si>
  <si>
    <t>INV00477</t>
  </si>
  <si>
    <t>INV00478</t>
  </si>
  <si>
    <t>INV00479</t>
  </si>
  <si>
    <t>INV00480</t>
  </si>
  <si>
    <t>INV00481</t>
  </si>
  <si>
    <t>INV00482</t>
  </si>
  <si>
    <t>INV00483</t>
  </si>
  <si>
    <t>INV00484</t>
  </si>
  <si>
    <t>INV00485</t>
  </si>
  <si>
    <t>INV00486</t>
  </si>
  <si>
    <t>INV00487</t>
  </si>
  <si>
    <t>INV00488</t>
  </si>
  <si>
    <t>INV00489</t>
  </si>
  <si>
    <t>INV00490</t>
  </si>
  <si>
    <t>INV00491</t>
  </si>
  <si>
    <t>INV00492</t>
  </si>
  <si>
    <t>INV00493</t>
  </si>
  <si>
    <t>INV00494</t>
  </si>
  <si>
    <t>INV00495</t>
  </si>
  <si>
    <t>INV00496</t>
  </si>
  <si>
    <t>INV00497</t>
  </si>
  <si>
    <t>INV00498</t>
  </si>
  <si>
    <t>INV00499</t>
  </si>
  <si>
    <t>INV00500</t>
  </si>
  <si>
    <t>INV00501</t>
  </si>
  <si>
    <t>INV00502</t>
  </si>
  <si>
    <t>INV00503</t>
  </si>
  <si>
    <t>INV00504</t>
  </si>
  <si>
    <t>INV00505</t>
  </si>
  <si>
    <t>INV00506</t>
  </si>
  <si>
    <t>INV00507</t>
  </si>
  <si>
    <t>INV00508</t>
  </si>
  <si>
    <t>INV00509</t>
  </si>
  <si>
    <t>INV00510</t>
  </si>
  <si>
    <t>INV00511</t>
  </si>
  <si>
    <t>INV00512</t>
  </si>
  <si>
    <t>INV00513</t>
  </si>
  <si>
    <t>INV00514</t>
  </si>
  <si>
    <t>INV00515</t>
  </si>
  <si>
    <t>INV00516</t>
  </si>
  <si>
    <t>INV00517</t>
  </si>
  <si>
    <t>INV00518</t>
  </si>
  <si>
    <t>INV00519</t>
  </si>
  <si>
    <t>INV00520</t>
  </si>
  <si>
    <t>INV00521</t>
  </si>
  <si>
    <t>INV00522</t>
  </si>
  <si>
    <t>INV00523</t>
  </si>
  <si>
    <t>INV00524</t>
  </si>
  <si>
    <t>INV00525</t>
  </si>
  <si>
    <t>INV00526</t>
  </si>
  <si>
    <t>INV00527</t>
  </si>
  <si>
    <t>INV00528</t>
  </si>
  <si>
    <t>INV00529</t>
  </si>
  <si>
    <t>INV00530</t>
  </si>
  <si>
    <t>INV00531</t>
  </si>
  <si>
    <t>INV00532</t>
  </si>
  <si>
    <t>INV00533</t>
  </si>
  <si>
    <t>INV00534</t>
  </si>
  <si>
    <t>INV00535</t>
  </si>
  <si>
    <t>INV00536</t>
  </si>
  <si>
    <t>INV00537</t>
  </si>
  <si>
    <t>INV00538</t>
  </si>
  <si>
    <t>INV00539</t>
  </si>
  <si>
    <t>INV00540</t>
  </si>
  <si>
    <t>INV00541</t>
  </si>
  <si>
    <t>INV00542</t>
  </si>
  <si>
    <t>INV00543</t>
  </si>
  <si>
    <t>INV00544</t>
  </si>
  <si>
    <t>INV00545</t>
  </si>
  <si>
    <t>INV00546</t>
  </si>
  <si>
    <t>INV00547</t>
  </si>
  <si>
    <t>INV00548</t>
  </si>
  <si>
    <t>INV00549</t>
  </si>
  <si>
    <t>INV00550</t>
  </si>
  <si>
    <t>INV00551</t>
  </si>
  <si>
    <t>INV00552</t>
  </si>
  <si>
    <t>INV00553</t>
  </si>
  <si>
    <t>INV00554</t>
  </si>
  <si>
    <t>INV00555</t>
  </si>
  <si>
    <t>INV00556</t>
  </si>
  <si>
    <t>INV00557</t>
  </si>
  <si>
    <t>INV00558</t>
  </si>
  <si>
    <t>INV00559</t>
  </si>
  <si>
    <t>INV00560</t>
  </si>
  <si>
    <t>INV00561</t>
  </si>
  <si>
    <t>INV00562</t>
  </si>
  <si>
    <t>INV00563</t>
  </si>
  <si>
    <t>INV00564</t>
  </si>
  <si>
    <t>INV00565</t>
  </si>
  <si>
    <t>INV00566</t>
  </si>
  <si>
    <t>INV00567</t>
  </si>
  <si>
    <t>INV00568</t>
  </si>
  <si>
    <t>INV00569</t>
  </si>
  <si>
    <t>INV00570</t>
  </si>
  <si>
    <t>INV00571</t>
  </si>
  <si>
    <t>INV00572</t>
  </si>
  <si>
    <t>INV00573</t>
  </si>
  <si>
    <t>INV00574</t>
  </si>
  <si>
    <t>INV00575</t>
  </si>
  <si>
    <t>INV00576</t>
  </si>
  <si>
    <t>INV00577</t>
  </si>
  <si>
    <t>INV00578</t>
  </si>
  <si>
    <t>INV00579</t>
  </si>
  <si>
    <t>INV00580</t>
  </si>
  <si>
    <t>INV00581</t>
  </si>
  <si>
    <t>INV00582</t>
  </si>
  <si>
    <t>INV00583</t>
  </si>
  <si>
    <t>INV00584</t>
  </si>
  <si>
    <t>INV00585</t>
  </si>
  <si>
    <t>INV00586</t>
  </si>
  <si>
    <t>INV00587</t>
  </si>
  <si>
    <t>INV00588</t>
  </si>
  <si>
    <t>INV00589</t>
  </si>
  <si>
    <t>INV00590</t>
  </si>
  <si>
    <t>INV00591</t>
  </si>
  <si>
    <t>INV00592</t>
  </si>
  <si>
    <t>INV00593</t>
  </si>
  <si>
    <t>INV00594</t>
  </si>
  <si>
    <t>INV00595</t>
  </si>
  <si>
    <t>INV00596</t>
  </si>
  <si>
    <t>INV00597</t>
  </si>
  <si>
    <t>INV00598</t>
  </si>
  <si>
    <t>INV00599</t>
  </si>
  <si>
    <t>INV00600</t>
  </si>
  <si>
    <t>INV00601</t>
  </si>
  <si>
    <t>INV00602</t>
  </si>
  <si>
    <t>INV00603</t>
  </si>
  <si>
    <t>INV00604</t>
  </si>
  <si>
    <t>INV00605</t>
  </si>
  <si>
    <t>INV00606</t>
  </si>
  <si>
    <t>INV00607</t>
  </si>
  <si>
    <t>INV00608</t>
  </si>
  <si>
    <t>INV00609</t>
  </si>
  <si>
    <t>INV00610</t>
  </si>
  <si>
    <t>INV00611</t>
  </si>
  <si>
    <t>INV00612</t>
  </si>
  <si>
    <t>INV00613</t>
  </si>
  <si>
    <t>INV00614</t>
  </si>
  <si>
    <t>INV00615</t>
  </si>
  <si>
    <t>INV00616</t>
  </si>
  <si>
    <t>INV00617</t>
  </si>
  <si>
    <t>INV00618</t>
  </si>
  <si>
    <t>INV00619</t>
  </si>
  <si>
    <t>INV00620</t>
  </si>
  <si>
    <t>INV00621</t>
  </si>
  <si>
    <t>INV00622</t>
  </si>
  <si>
    <t>INV00623</t>
  </si>
  <si>
    <t>INV00624</t>
  </si>
  <si>
    <t>INV00625</t>
  </si>
  <si>
    <t>INV00626</t>
  </si>
  <si>
    <t>INV00627</t>
  </si>
  <si>
    <t>INV00628</t>
  </si>
  <si>
    <t>INV00629</t>
  </si>
  <si>
    <t>INV00630</t>
  </si>
  <si>
    <t>INV00631</t>
  </si>
  <si>
    <t>INV00632</t>
  </si>
  <si>
    <t>INV00633</t>
  </si>
  <si>
    <t>INV00634</t>
  </si>
  <si>
    <t>INV00635</t>
  </si>
  <si>
    <t>INV00636</t>
  </si>
  <si>
    <t>INV00637</t>
  </si>
  <si>
    <t>INV00638</t>
  </si>
  <si>
    <t>INV00639</t>
  </si>
  <si>
    <t>INV00640</t>
  </si>
  <si>
    <t>INV00641</t>
  </si>
  <si>
    <t>INV00642</t>
  </si>
  <si>
    <t>INV00643</t>
  </si>
  <si>
    <t>INV00644</t>
  </si>
  <si>
    <t>INV00645</t>
  </si>
  <si>
    <t>INV00646</t>
  </si>
  <si>
    <t>INV00647</t>
  </si>
  <si>
    <t>INV00648</t>
  </si>
  <si>
    <t>INV00649</t>
  </si>
  <si>
    <t>INV00650</t>
  </si>
  <si>
    <t>INV00651</t>
  </si>
  <si>
    <t>INV00652</t>
  </si>
  <si>
    <t>INV00653</t>
  </si>
  <si>
    <t>INV00654</t>
  </si>
  <si>
    <t>INV00655</t>
  </si>
  <si>
    <t>INV00656</t>
  </si>
  <si>
    <t>INV00657</t>
  </si>
  <si>
    <t>INV00658</t>
  </si>
  <si>
    <t>INV00659</t>
  </si>
  <si>
    <t>INV00660</t>
  </si>
  <si>
    <t>INV00661</t>
  </si>
  <si>
    <t>INV00662</t>
  </si>
  <si>
    <t>INV00663</t>
  </si>
  <si>
    <t>INV00664</t>
  </si>
  <si>
    <t>INV00665</t>
  </si>
  <si>
    <t>INV00666</t>
  </si>
  <si>
    <t>INV00667</t>
  </si>
  <si>
    <t>INV00668</t>
  </si>
  <si>
    <t>INV00669</t>
  </si>
  <si>
    <t>INV00670</t>
  </si>
  <si>
    <t>INV00671</t>
  </si>
  <si>
    <t>INV00672</t>
  </si>
  <si>
    <t>INV00673</t>
  </si>
  <si>
    <t>INV00674</t>
  </si>
  <si>
    <t>INV00675</t>
  </si>
  <si>
    <t>INV00676</t>
  </si>
  <si>
    <t>INV00677</t>
  </si>
  <si>
    <t>INV00678</t>
  </si>
  <si>
    <t>INV00679</t>
  </si>
  <si>
    <t>INV00680</t>
  </si>
  <si>
    <t>INV00681</t>
  </si>
  <si>
    <t>INV00682</t>
  </si>
  <si>
    <t>INV00683</t>
  </si>
  <si>
    <t>INV00684</t>
  </si>
  <si>
    <t>INV00685</t>
  </si>
  <si>
    <t>INV00686</t>
  </si>
  <si>
    <t>INV00687</t>
  </si>
  <si>
    <t>INV00688</t>
  </si>
  <si>
    <t>INV00689</t>
  </si>
  <si>
    <t>INV00690</t>
  </si>
  <si>
    <t>INV00691</t>
  </si>
  <si>
    <t>INV00692</t>
  </si>
  <si>
    <t>INV00693</t>
  </si>
  <si>
    <t>INV00694</t>
  </si>
  <si>
    <t>INV00695</t>
  </si>
  <si>
    <t>INV00696</t>
  </si>
  <si>
    <t>INV00697</t>
  </si>
  <si>
    <t>INV00698</t>
  </si>
  <si>
    <t>INV00699</t>
  </si>
  <si>
    <t>INV00700</t>
  </si>
  <si>
    <t>INV00701</t>
  </si>
  <si>
    <t>INV00702</t>
  </si>
  <si>
    <t>INV00703</t>
  </si>
  <si>
    <t>INV00704</t>
  </si>
  <si>
    <t>INV00705</t>
  </si>
  <si>
    <t>INV00706</t>
  </si>
  <si>
    <t>INV00707</t>
  </si>
  <si>
    <t>INV00708</t>
  </si>
  <si>
    <t>INV00709</t>
  </si>
  <si>
    <t>INV00710</t>
  </si>
  <si>
    <t>INV00711</t>
  </si>
  <si>
    <t>INV00712</t>
  </si>
  <si>
    <t>INV00713</t>
  </si>
  <si>
    <t>INV00714</t>
  </si>
  <si>
    <t>INV00715</t>
  </si>
  <si>
    <t>INV00716</t>
  </si>
  <si>
    <t>INV00717</t>
  </si>
  <si>
    <t>INV00718</t>
  </si>
  <si>
    <t>INV00719</t>
  </si>
  <si>
    <t>INV00720</t>
  </si>
  <si>
    <t>INV00721</t>
  </si>
  <si>
    <t>INV00722</t>
  </si>
  <si>
    <t>INV00723</t>
  </si>
  <si>
    <t>INV00724</t>
  </si>
  <si>
    <t>INV00725</t>
  </si>
  <si>
    <t>INV00726</t>
  </si>
  <si>
    <t>INV00727</t>
  </si>
  <si>
    <t>INV00728</t>
  </si>
  <si>
    <t>INV00729</t>
  </si>
  <si>
    <t>INV00730</t>
  </si>
  <si>
    <t>INV00731</t>
  </si>
  <si>
    <t>INV00732</t>
  </si>
  <si>
    <t>INV00733</t>
  </si>
  <si>
    <t>INV00734</t>
  </si>
  <si>
    <t>INV00735</t>
  </si>
  <si>
    <t>INV00736</t>
  </si>
  <si>
    <t>INV00737</t>
  </si>
  <si>
    <t>INV00738</t>
  </si>
  <si>
    <t>INV00739</t>
  </si>
  <si>
    <t>INV00740</t>
  </si>
  <si>
    <t>INV00741</t>
  </si>
  <si>
    <t>INV00742</t>
  </si>
  <si>
    <t>INV00743</t>
  </si>
  <si>
    <t>INV00744</t>
  </si>
  <si>
    <t>INV00745</t>
  </si>
  <si>
    <t>INV00746</t>
  </si>
  <si>
    <t>INV00747</t>
  </si>
  <si>
    <t>INV00748</t>
  </si>
  <si>
    <t>INV00749</t>
  </si>
  <si>
    <t>INV00750</t>
  </si>
  <si>
    <t>INV00751</t>
  </si>
  <si>
    <t>INV00752</t>
  </si>
  <si>
    <t>INV00753</t>
  </si>
  <si>
    <t>INV00754</t>
  </si>
  <si>
    <t>INV00755</t>
  </si>
  <si>
    <t>INV00756</t>
  </si>
  <si>
    <t>INV00757</t>
  </si>
  <si>
    <t>INV00758</t>
  </si>
  <si>
    <t>INV00759</t>
  </si>
  <si>
    <t>INV00760</t>
  </si>
  <si>
    <t>INV00761</t>
  </si>
  <si>
    <t>INV00762</t>
  </si>
  <si>
    <t>INV00763</t>
  </si>
  <si>
    <t>INV00764</t>
  </si>
  <si>
    <t>INV00765</t>
  </si>
  <si>
    <t>INV00766</t>
  </si>
  <si>
    <t>INV00767</t>
  </si>
  <si>
    <t>INV00768</t>
  </si>
  <si>
    <t>INV00769</t>
  </si>
  <si>
    <t>INV00770</t>
  </si>
  <si>
    <t>INV00771</t>
  </si>
  <si>
    <t>INV00772</t>
  </si>
  <si>
    <t>INV00773</t>
  </si>
  <si>
    <t>INV00774</t>
  </si>
  <si>
    <t>INV00775</t>
  </si>
  <si>
    <t>INV00776</t>
  </si>
  <si>
    <t>INV00777</t>
  </si>
  <si>
    <t>INV00778</t>
  </si>
  <si>
    <t>INV00779</t>
  </si>
  <si>
    <t>INV00780</t>
  </si>
  <si>
    <t>INV00781</t>
  </si>
  <si>
    <t>INV00782</t>
  </si>
  <si>
    <t>INV00783</t>
  </si>
  <si>
    <t>INV00784</t>
  </si>
  <si>
    <t>INV00785</t>
  </si>
  <si>
    <t>INV00786</t>
  </si>
  <si>
    <t>INV00787</t>
  </si>
  <si>
    <t>INV00788</t>
  </si>
  <si>
    <t>INV00789</t>
  </si>
  <si>
    <t>INV00790</t>
  </si>
  <si>
    <t>INV00791</t>
  </si>
  <si>
    <t>INV00792</t>
  </si>
  <si>
    <t>INV00793</t>
  </si>
  <si>
    <t>INV00794</t>
  </si>
  <si>
    <t>INV00795</t>
  </si>
  <si>
    <t>INV00796</t>
  </si>
  <si>
    <t>INV00797</t>
  </si>
  <si>
    <t>INV00798</t>
  </si>
  <si>
    <t>INV00799</t>
  </si>
  <si>
    <t>INV00800</t>
  </si>
  <si>
    <t>INV00801</t>
  </si>
  <si>
    <t>INV00802</t>
  </si>
  <si>
    <t>INV00803</t>
  </si>
  <si>
    <t>INV00804</t>
  </si>
  <si>
    <t>INV00805</t>
  </si>
  <si>
    <t>INV00806</t>
  </si>
  <si>
    <t>INV00807</t>
  </si>
  <si>
    <t>INV00808</t>
  </si>
  <si>
    <t>INV00809</t>
  </si>
  <si>
    <t>INV00810</t>
  </si>
  <si>
    <t>INV00811</t>
  </si>
  <si>
    <t>INV00812</t>
  </si>
  <si>
    <t>INV00813</t>
  </si>
  <si>
    <t>INV00814</t>
  </si>
  <si>
    <t>INV00815</t>
  </si>
  <si>
    <t>INV00816</t>
  </si>
  <si>
    <t>INV00817</t>
  </si>
  <si>
    <t>INV00818</t>
  </si>
  <si>
    <t>INV00819</t>
  </si>
  <si>
    <t>INV00820</t>
  </si>
  <si>
    <t>INV00821</t>
  </si>
  <si>
    <t>INV00822</t>
  </si>
  <si>
    <t>INV00823</t>
  </si>
  <si>
    <t>INV00824</t>
  </si>
  <si>
    <t>INV00825</t>
  </si>
  <si>
    <t>INV00826</t>
  </si>
  <si>
    <t>INV00827</t>
  </si>
  <si>
    <t>INV00828</t>
  </si>
  <si>
    <t>INV00829</t>
  </si>
  <si>
    <t>INV00830</t>
  </si>
  <si>
    <t>INV00831</t>
  </si>
  <si>
    <t>INV00832</t>
  </si>
  <si>
    <t>INV00833</t>
  </si>
  <si>
    <t>INV00834</t>
  </si>
  <si>
    <t>INV00835</t>
  </si>
  <si>
    <t>INV00836</t>
  </si>
  <si>
    <t>INV00837</t>
  </si>
  <si>
    <t>INV00838</t>
  </si>
  <si>
    <t>INV00839</t>
  </si>
  <si>
    <t>INV00840</t>
  </si>
  <si>
    <t>INV00841</t>
  </si>
  <si>
    <t>INV00842</t>
  </si>
  <si>
    <t>INV00843</t>
  </si>
  <si>
    <t>INV00844</t>
  </si>
  <si>
    <t>INV00845</t>
  </si>
  <si>
    <t>INV00846</t>
  </si>
  <si>
    <t>INV00847</t>
  </si>
  <si>
    <t>INV00848</t>
  </si>
  <si>
    <t>INV00849</t>
  </si>
  <si>
    <t>INV00850</t>
  </si>
  <si>
    <t>INV00851</t>
  </si>
  <si>
    <t>INV00852</t>
  </si>
  <si>
    <t>INV00853</t>
  </si>
  <si>
    <t>INV00854</t>
  </si>
  <si>
    <t>INV00855</t>
  </si>
  <si>
    <t>INV00856</t>
  </si>
  <si>
    <t>INV00857</t>
  </si>
  <si>
    <t>INV00858</t>
  </si>
  <si>
    <t>INV00859</t>
  </si>
  <si>
    <t>INV00860</t>
  </si>
  <si>
    <t>INV00861</t>
  </si>
  <si>
    <t>INV00862</t>
  </si>
  <si>
    <t>INV00863</t>
  </si>
  <si>
    <t>INV00864</t>
  </si>
  <si>
    <t>INV00865</t>
  </si>
  <si>
    <t>INV00866</t>
  </si>
  <si>
    <t>INV00867</t>
  </si>
  <si>
    <t>INV00868</t>
  </si>
  <si>
    <t>INV00869</t>
  </si>
  <si>
    <t>INV00870</t>
  </si>
  <si>
    <t>INV00871</t>
  </si>
  <si>
    <t>INV00872</t>
  </si>
  <si>
    <t>INV00873</t>
  </si>
  <si>
    <t>INV00874</t>
  </si>
  <si>
    <t>INV00875</t>
  </si>
  <si>
    <t>INV00876</t>
  </si>
  <si>
    <t>INV00877</t>
  </si>
  <si>
    <t>INV00878</t>
  </si>
  <si>
    <t>INV00879</t>
  </si>
  <si>
    <t>INV00880</t>
  </si>
  <si>
    <t>INV00881</t>
  </si>
  <si>
    <t>INV00882</t>
  </si>
  <si>
    <t>INV00883</t>
  </si>
  <si>
    <t>INV00884</t>
  </si>
  <si>
    <t>INV00885</t>
  </si>
  <si>
    <t>INV00886</t>
  </si>
  <si>
    <t>INV00887</t>
  </si>
  <si>
    <t>INV00888</t>
  </si>
  <si>
    <t>INV00889</t>
  </si>
  <si>
    <t>INV00890</t>
  </si>
  <si>
    <t>INV00891</t>
  </si>
  <si>
    <t>INV00892</t>
  </si>
  <si>
    <t>INV00893</t>
  </si>
  <si>
    <t>INV00894</t>
  </si>
  <si>
    <t>INV00895</t>
  </si>
  <si>
    <t>INV00896</t>
  </si>
  <si>
    <t>INV00897</t>
  </si>
  <si>
    <t>INV00898</t>
  </si>
  <si>
    <t>INV00899</t>
  </si>
  <si>
    <t>INV00900</t>
  </si>
  <si>
    <t>INV00901</t>
  </si>
  <si>
    <t>INV00902</t>
  </si>
  <si>
    <t>INV00903</t>
  </si>
  <si>
    <t>INV00904</t>
  </si>
  <si>
    <t>INV00905</t>
  </si>
  <si>
    <t>INV00906</t>
  </si>
  <si>
    <t>INV00907</t>
  </si>
  <si>
    <t>INV00908</t>
  </si>
  <si>
    <t>INV00909</t>
  </si>
  <si>
    <t>INV00910</t>
  </si>
  <si>
    <t>INV00911</t>
  </si>
  <si>
    <t>INV00912</t>
  </si>
  <si>
    <t>INV00913</t>
  </si>
  <si>
    <t>INV00914</t>
  </si>
  <si>
    <t>INV00915</t>
  </si>
  <si>
    <t>INV00916</t>
  </si>
  <si>
    <t>INV00917</t>
  </si>
  <si>
    <t>INV00918</t>
  </si>
  <si>
    <t>INV00919</t>
  </si>
  <si>
    <t>INV00920</t>
  </si>
  <si>
    <t>INV00921</t>
  </si>
  <si>
    <t>INV00922</t>
  </si>
  <si>
    <t>INV00923</t>
  </si>
  <si>
    <t>INV00924</t>
  </si>
  <si>
    <t>INV00925</t>
  </si>
  <si>
    <t>INV00926</t>
  </si>
  <si>
    <t>INV00927</t>
  </si>
  <si>
    <t>INV00928</t>
  </si>
  <si>
    <t>INV00929</t>
  </si>
  <si>
    <t>INV00930</t>
  </si>
  <si>
    <t>INV00931</t>
  </si>
  <si>
    <t>INV00932</t>
  </si>
  <si>
    <t>INV00933</t>
  </si>
  <si>
    <t>INV00934</t>
  </si>
  <si>
    <t>INV00935</t>
  </si>
  <si>
    <t>INV00936</t>
  </si>
  <si>
    <t>INV00937</t>
  </si>
  <si>
    <t>INV00938</t>
  </si>
  <si>
    <t>INV00939</t>
  </si>
  <si>
    <t>INV00940</t>
  </si>
  <si>
    <t>INV00941</t>
  </si>
  <si>
    <t>INV00942</t>
  </si>
  <si>
    <t>INV00943</t>
  </si>
  <si>
    <t>INV00944</t>
  </si>
  <si>
    <t>INV00945</t>
  </si>
  <si>
    <t>INV00946</t>
  </si>
  <si>
    <t>INV00947</t>
  </si>
  <si>
    <t>INV00948</t>
  </si>
  <si>
    <t>INV00949</t>
  </si>
  <si>
    <t>INV00950</t>
  </si>
  <si>
    <t>INV00951</t>
  </si>
  <si>
    <t>INV00952</t>
  </si>
  <si>
    <t>INV00953</t>
  </si>
  <si>
    <t>INV00954</t>
  </si>
  <si>
    <t>INV00955</t>
  </si>
  <si>
    <t>INV00956</t>
  </si>
  <si>
    <t>INV00957</t>
  </si>
  <si>
    <t>INV00958</t>
  </si>
  <si>
    <t>INV00959</t>
  </si>
  <si>
    <t>INV00960</t>
  </si>
  <si>
    <t>INV00961</t>
  </si>
  <si>
    <t>INV00962</t>
  </si>
  <si>
    <t>INV00963</t>
  </si>
  <si>
    <t>INV00964</t>
  </si>
  <si>
    <t>INV00965</t>
  </si>
  <si>
    <t>INV00966</t>
  </si>
  <si>
    <t>INV00967</t>
  </si>
  <si>
    <t>INV00968</t>
  </si>
  <si>
    <t>INV00969</t>
  </si>
  <si>
    <t>INV00970</t>
  </si>
  <si>
    <t>INV00971</t>
  </si>
  <si>
    <t>INV00972</t>
  </si>
  <si>
    <t>INV00973</t>
  </si>
  <si>
    <t>INV00974</t>
  </si>
  <si>
    <t>INV00975</t>
  </si>
  <si>
    <t>INV00976</t>
  </si>
  <si>
    <t>INV00977</t>
  </si>
  <si>
    <t>INV00978</t>
  </si>
  <si>
    <t>INV00979</t>
  </si>
  <si>
    <t>INV00980</t>
  </si>
  <si>
    <t>INV00981</t>
  </si>
  <si>
    <t>INV00982</t>
  </si>
  <si>
    <t>INV00983</t>
  </si>
  <si>
    <t>INV00984</t>
  </si>
  <si>
    <t>INV00985</t>
  </si>
  <si>
    <t>INV00986</t>
  </si>
  <si>
    <t>INV00987</t>
  </si>
  <si>
    <t>INV00988</t>
  </si>
  <si>
    <t>INV00989</t>
  </si>
  <si>
    <t>INV00990</t>
  </si>
  <si>
    <t>INV00991</t>
  </si>
  <si>
    <t>INV00992</t>
  </si>
  <si>
    <t>INV00993</t>
  </si>
  <si>
    <t>INV00994</t>
  </si>
  <si>
    <t>INV00995</t>
  </si>
  <si>
    <t>INV00996</t>
  </si>
  <si>
    <t>INV00997</t>
  </si>
  <si>
    <t>INV00998</t>
  </si>
  <si>
    <t>INV00999</t>
  </si>
  <si>
    <t>INV01000</t>
  </si>
  <si>
    <t>INV01001</t>
  </si>
  <si>
    <t>Product</t>
  </si>
  <si>
    <t>Opening Stock</t>
  </si>
  <si>
    <t>Sales Qty</t>
  </si>
  <si>
    <t>Closing Stock</t>
  </si>
  <si>
    <t>Reorder Level</t>
  </si>
  <si>
    <t>Stock Status</t>
  </si>
  <si>
    <t>FMCG MIS DASHBOARD</t>
  </si>
  <si>
    <t>Sum of Net Sales</t>
  </si>
  <si>
    <t>% Share</t>
  </si>
  <si>
    <t>Grand Total</t>
  </si>
  <si>
    <t>Column Labels</t>
  </si>
  <si>
    <t>Sum of Target Sales</t>
  </si>
  <si>
    <t>Sum of Units Sold</t>
  </si>
  <si>
    <t>Jan</t>
  </si>
  <si>
    <t>Feb</t>
  </si>
  <si>
    <t>Mar</t>
  </si>
  <si>
    <t>Apr</t>
  </si>
  <si>
    <t>May</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</si>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</sst>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quot;#,##0"/>
    <numFmt numFmtId="166" formatCode="0.0%"/>
  </numFmts>
  <fonts count="13" x14ac:knownFonts="1">
    <font>
      <sz val="11"/>
      <color theme="1"/>
      <name val="Calibri"/>
      <family val="2"/>
      <scheme val="minor"/>
    </font>
    <font>
      <b/>
      <sz val="11"/>
      <name val="Calibri"/>
    </font>
    <font>
      <b/>
      <sz val="11"/>
      <name val="Calibri"/>
      <family val="2"/>
    </font>
    <font>
      <b/>
      <sz val="11"/>
      <color rgb="FFFFFFFF"/>
      <name val="Segoe UI"/>
    </font>
    <font>
      <sz val="10"/>
      <color rgb="FF0F172A"/>
      <name val="Segoe UI"/>
    </font>
    <font>
      <b/>
      <sz val="10"/>
      <color rgb="FF334155"/>
      <name val="Segoe UI"/>
      <family val="2"/>
    </font>
    <font>
      <sz val="10"/>
      <color rgb="FF334155"/>
      <name val="Segoe UI"/>
      <family val="2"/>
    </font>
    <font>
      <sz val="10"/>
      <color rgb="FF0F172A"/>
      <name val="Segoe UI"/>
      <family val="2"/>
    </font>
    <font>
      <b/>
      <sz val="11"/>
      <color theme="3" tint="-0.249977111117893"/>
      <name val="Calibri"/>
      <family val="2"/>
      <scheme val="minor"/>
    </font>
    <font>
      <b/>
      <sz val="16"/>
      <color rgb="FFFFFFFF"/>
      <name val="Segoe UI"/>
      <family val="2"/>
    </font>
    <font>
      <b/>
      <sz val="24"/>
      <color rgb="FF0F172A"/>
      <name val="Segoe UI"/>
      <family val="2"/>
    </font>
    <font>
      <i/>
      <sz val="10"/>
      <color theme="0"/>
      <name val="Segoe UI"/>
      <family val="2"/>
    </font>
    <font>
      <b/>
      <sz val="36"/>
      <color rgb="FFFFFFFF"/>
      <name val="Segoe UI"/>
      <family val="2"/>
    </font>
  </fonts>
  <fills count="12">
    <fill>
      <patternFill patternType="none"/>
    </fill>
    <fill>
      <patternFill patternType="gray125"/>
    </fill>
    <fill>
      <patternFill patternType="solid">
        <fgColor rgb="FF0F172A"/>
        <bgColor rgb="FF0F172A"/>
      </patternFill>
    </fill>
    <fill>
      <patternFill patternType="solid">
        <fgColor rgb="FFFFFFFF"/>
        <bgColor rgb="FFFFFFFF"/>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bgColor theme="4"/>
      </patternFill>
    </fill>
    <fill>
      <patternFill patternType="solid">
        <fgColor theme="0" tint="-0.14999847407452621"/>
        <bgColor indexed="64"/>
      </patternFill>
    </fill>
    <fill>
      <patternFill patternType="solid">
        <fgColor theme="8" tint="-0.499984740745262"/>
        <bgColor rgb="FFF8FAFC"/>
      </patternFill>
    </fill>
    <fill>
      <patternFill patternType="solid">
        <fgColor theme="8" tint="-0.499984740745262"/>
        <bgColor indexed="64"/>
      </patternFill>
    </fill>
    <fill>
      <patternFill patternType="solid">
        <fgColor theme="8" tint="-0.249977111117893"/>
        <bgColor rgb="FF0284C7"/>
      </patternFill>
    </fill>
    <fill>
      <patternFill patternType="solid">
        <fgColor rgb="FF33889F"/>
        <bgColor rgb="FF0F172A"/>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CBD5E1"/>
      </left>
      <right style="thin">
        <color rgb="FFCBD5E1"/>
      </right>
      <top style="thin">
        <color rgb="FFCBD5E1"/>
      </top>
      <bottom style="thin">
        <color rgb="FFCBD5E1"/>
      </bottom>
      <diagonal/>
    </border>
    <border>
      <left/>
      <right/>
      <top/>
      <bottom style="thin">
        <color theme="4" tint="0.39997558519241921"/>
      </bottom>
      <diagonal/>
    </border>
    <border>
      <left style="thin">
        <color rgb="FFCBD5E1"/>
      </left>
      <right/>
      <top style="medium">
        <color rgb="FF0284C7"/>
      </top>
      <bottom style="thin">
        <color rgb="FFCBD5E1"/>
      </bottom>
      <diagonal/>
    </border>
    <border>
      <left style="thin">
        <color rgb="FFCBD5E1"/>
      </left>
      <right/>
      <top style="thin">
        <color rgb="FFCBD5E1"/>
      </top>
      <bottom style="thin">
        <color rgb="FFCBD5E1"/>
      </bottom>
      <diagonal/>
    </border>
  </borders>
  <cellStyleXfs count="1">
    <xf numFmtId="0" fontId="0" fillId="0" borderId="0"/>
  </cellStyleXfs>
  <cellXfs count="43">
    <xf numFmtId="0" fontId="0" fillId="0" borderId="0" xfId="0"/>
    <xf numFmtId="0" fontId="0" fillId="0" borderId="1" xfId="0" applyBorder="1"/>
    <xf numFmtId="0" fontId="0" fillId="0" borderId="3" xfId="0" applyBorder="1"/>
    <xf numFmtId="0" fontId="1" fillId="0" borderId="5" xfId="0" applyFont="1" applyBorder="1"/>
    <xf numFmtId="0" fontId="1" fillId="0" borderId="6" xfId="0" applyFont="1" applyBorder="1"/>
    <xf numFmtId="0" fontId="0" fillId="0" borderId="8" xfId="0" applyBorder="1"/>
    <xf numFmtId="0" fontId="0" fillId="0" borderId="9" xfId="0" applyBorder="1"/>
    <xf numFmtId="0" fontId="2" fillId="0" borderId="4" xfId="0" applyFont="1" applyBorder="1"/>
    <xf numFmtId="0" fontId="1" fillId="0" borderId="1" xfId="0" applyFont="1" applyBorder="1" applyAlignment="1">
      <alignment horizontal="center" vertical="center"/>
    </xf>
    <xf numFmtId="0" fontId="0" fillId="0" borderId="1" xfId="0" applyBorder="1" applyAlignment="1">
      <alignment horizontal="center" vertical="center"/>
    </xf>
    <xf numFmtId="164" fontId="0" fillId="0" borderId="2" xfId="0" applyNumberFormat="1" applyBorder="1"/>
    <xf numFmtId="164" fontId="0" fillId="0" borderId="7" xfId="0" applyNumberFormat="1" applyBorder="1"/>
    <xf numFmtId="0" fontId="0" fillId="0" borderId="7" xfId="0" applyBorder="1"/>
    <xf numFmtId="0" fontId="0" fillId="5" borderId="1" xfId="0" applyFill="1" applyBorder="1"/>
    <xf numFmtId="0" fontId="0" fillId="4" borderId="1" xfId="0" applyFill="1" applyBorder="1"/>
    <xf numFmtId="0" fontId="0" fillId="0" borderId="2" xfId="0" applyBorder="1"/>
    <xf numFmtId="166" fontId="4" fillId="0" borderId="10" xfId="0" applyNumberFormat="1" applyFont="1" applyBorder="1" applyAlignment="1">
      <alignment horizontal="right" vertical="center"/>
    </xf>
    <xf numFmtId="0" fontId="8" fillId="7" borderId="0" xfId="0" applyFont="1" applyFill="1"/>
    <xf numFmtId="166" fontId="4" fillId="7" borderId="10" xfId="0" applyNumberFormat="1" applyFont="1" applyFill="1" applyBorder="1" applyAlignment="1">
      <alignment horizontal="right" vertical="center"/>
    </xf>
    <xf numFmtId="0" fontId="5" fillId="7" borderId="11" xfId="0" applyFont="1" applyFill="1" applyBorder="1" applyAlignment="1">
      <alignment horizontal="left" vertical="center"/>
    </xf>
    <xf numFmtId="165" fontId="10" fillId="3" borderId="13" xfId="0" applyNumberFormat="1" applyFont="1" applyFill="1" applyBorder="1" applyAlignment="1">
      <alignment horizontal="center" vertical="center"/>
    </xf>
    <xf numFmtId="0" fontId="0" fillId="5" borderId="5" xfId="0" applyFill="1" applyBorder="1"/>
    <xf numFmtId="0" fontId="0" fillId="4" borderId="8" xfId="0" applyFill="1" applyBorder="1"/>
    <xf numFmtId="0" fontId="2" fillId="6" borderId="5" xfId="0" applyFont="1" applyFill="1" applyBorder="1"/>
    <xf numFmtId="0" fontId="0" fillId="7" borderId="4" xfId="0" applyFill="1" applyBorder="1"/>
    <xf numFmtId="0" fontId="0" fillId="7" borderId="6" xfId="0" applyFill="1" applyBorder="1"/>
    <xf numFmtId="0" fontId="0" fillId="8" borderId="0" xfId="0" applyFill="1"/>
    <xf numFmtId="0" fontId="0" fillId="9" borderId="0" xfId="0" applyFill="1"/>
    <xf numFmtId="0" fontId="9" fillId="10" borderId="12" xfId="0" applyFont="1" applyFill="1" applyBorder="1" applyAlignment="1">
      <alignment horizontal="center" vertical="center"/>
    </xf>
    <xf numFmtId="166" fontId="10" fillId="3" borderId="13" xfId="0" applyNumberFormat="1" applyFont="1" applyFill="1" applyBorder="1" applyAlignment="1">
      <alignment horizontal="center" vertical="center"/>
    </xf>
    <xf numFmtId="3" fontId="10" fillId="3" borderId="13" xfId="0" applyNumberFormat="1" applyFont="1" applyFill="1" applyBorder="1" applyAlignment="1">
      <alignment horizontal="center" vertical="center"/>
    </xf>
    <xf numFmtId="0" fontId="12" fillId="11" borderId="0" xfId="0" applyFont="1" applyFill="1" applyAlignment="1">
      <alignment horizontal="center" vertical="center"/>
    </xf>
    <xf numFmtId="0" fontId="11" fillId="2" borderId="0" xfId="0" applyFont="1" applyFill="1" applyAlignment="1">
      <alignment horizontal="center" vertical="center"/>
    </xf>
    <xf numFmtId="0" fontId="3" fillId="0" borderId="10" xfId="0" applyFont="1" applyBorder="1" applyAlignment="1">
      <alignment horizontal="center" vertical="center"/>
    </xf>
    <xf numFmtId="10" fontId="0" fillId="0" borderId="0" xfId="0" applyNumberFormat="1"/>
    <xf numFmtId="166" fontId="0" fillId="0" borderId="0" xfId="0" applyNumberFormat="1"/>
    <xf numFmtId="0" fontId="6" fillId="0" borderId="0" xfId="0" applyFont="1" applyFill="1" applyAlignment="1">
      <alignment horizontal="left" vertical="center"/>
    </xf>
    <xf numFmtId="0" fontId="7" fillId="0" borderId="0" xfId="0" applyFont="1" applyFill="1" applyAlignment="1">
      <alignment horizontal="left" vertical="center"/>
    </xf>
    <xf numFmtId="3" fontId="7" fillId="0" borderId="0" xfId="0" applyNumberFormat="1" applyFont="1" applyFill="1" applyAlignment="1">
      <alignment horizontal="left" vertical="center"/>
    </xf>
    <xf numFmtId="3" fontId="6" fillId="0" borderId="0" xfId="0" applyNumberFormat="1" applyFont="1" applyFill="1" applyAlignment="1">
      <alignment horizontal="left" vertical="center"/>
    </xf>
    <xf numFmtId="0" fontId="6" fillId="0" borderId="0" xfId="0" applyNumberFormat="1" applyFont="1" applyFill="1" applyAlignment="1">
      <alignment horizontal="left" vertical="center"/>
    </xf>
    <xf numFmtId="10" fontId="6" fillId="0" borderId="0" xfId="0" applyNumberFormat="1" applyFont="1" applyFill="1" applyAlignment="1">
      <alignment horizontal="left" vertical="center"/>
    </xf>
    <xf numFmtId="0" fontId="6" fillId="0" borderId="0" xfId="0" applyNumberFormat="1" applyFont="1" applyFill="1" applyAlignment="1">
      <alignment horizontal="center" vertical="center"/>
    </xf>
  </cellXfs>
  <cellStyles count="1">
    <cellStyle name="Normal" xfId="0" builtinId="0"/>
  </cellStyles>
  <dxfs count="3777">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alignment horizontal="center"/>
    </dxf>
    <dxf>
      <alignment horizontal="left"/>
    </dxf>
    <dxf>
      <alignment horizontal="left"/>
    </dxf>
    <dxf>
      <alignment horizontal="left"/>
    </dxf>
    <dxf>
      <alignment horizontal="lef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val="0"/>
      </font>
    </dxf>
    <dxf>
      <font>
        <b val="0"/>
      </font>
    </dxf>
    <dxf>
      <font>
        <b val="0"/>
      </font>
    </dxf>
    <dxf>
      <font>
        <b val="0"/>
      </fon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alignment horizontal="center"/>
    </dxf>
    <dxf>
      <alignment horizontal="left"/>
    </dxf>
    <dxf>
      <alignment horizontal="left"/>
    </dxf>
    <dxf>
      <alignment horizontal="left"/>
    </dxf>
    <dxf>
      <alignment horizontal="left"/>
    </dxf>
    <dxf>
      <alignment horizontal="lef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val="0"/>
      </font>
    </dxf>
    <dxf>
      <font>
        <b val="0"/>
      </font>
    </dxf>
    <dxf>
      <font>
        <b val="0"/>
      </font>
    </dxf>
    <dxf>
      <font>
        <b val="0"/>
      </fon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0F172A"/>
      </font>
      <fill>
        <patternFill>
          <fgColor rgb="FFFFFFFF"/>
          <bgColor rgb="FFFFFFFF"/>
        </patternFill>
      </fill>
    </dxf>
    <dxf>
      <font>
        <color rgb="FF0F172A"/>
      </font>
      <fill>
        <patternFill>
          <fgColor rgb="FFFFFFFF"/>
          <bgColor rgb="FFFFFFFF"/>
        </patternFill>
      </fill>
    </dxf>
    <dxf>
      <numFmt numFmtId="3" formatCode="#,##0"/>
    </dxf>
    <dxf>
      <numFmt numFmtId="3" formatCode="#,##0"/>
    </dxf>
    <dxf>
      <font>
        <b val="0"/>
      </font>
    </dxf>
    <dxf>
      <font>
        <b val="0"/>
      </font>
    </dxf>
    <dxf>
      <font>
        <b val="0"/>
      </font>
    </dxf>
    <dxf>
      <font>
        <b val="0"/>
      </font>
    </dxf>
    <dxf>
      <font>
        <b val="0"/>
      </fon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 formatCode="#,##0"/>
    </dxf>
    <dxf>
      <font>
        <b val="0"/>
      </font>
    </dxf>
    <dxf>
      <font>
        <b val="0"/>
      </font>
    </dxf>
    <dxf>
      <font>
        <b val="0"/>
      </font>
    </dxf>
    <dxf>
      <font>
        <b val="0"/>
      </fon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val="0"/>
      </font>
    </dxf>
    <dxf>
      <font>
        <b val="0"/>
      </font>
    </dxf>
    <dxf>
      <font>
        <b val="0"/>
      </font>
    </dxf>
    <dxf>
      <font>
        <b val="0"/>
      </font>
    </dxf>
    <dxf>
      <font>
        <b val="0"/>
      </fon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val="0"/>
      </font>
    </dxf>
    <dxf>
      <font>
        <b val="0"/>
      </font>
    </dxf>
    <dxf>
      <font>
        <b val="0"/>
      </font>
    </dxf>
    <dxf>
      <font>
        <b val="0"/>
      </fon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val="0"/>
      </font>
    </dxf>
    <dxf>
      <font>
        <b val="0"/>
      </font>
    </dxf>
    <dxf>
      <font>
        <b val="0"/>
      </font>
    </dxf>
    <dxf>
      <font>
        <b val="0"/>
      </font>
    </dxf>
    <dxf>
      <font>
        <b val="0"/>
      </font>
    </dxf>
    <dxf>
      <font>
        <b val="0"/>
      </fon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border>
        <left style="thin">
          <color indexed="64"/>
        </left>
        <right style="thin">
          <color indexed="64"/>
        </right>
        <top style="thin">
          <color indexed="64"/>
        </top>
        <bottom style="thin">
          <color indexed="64"/>
        </bottom>
        <vertical/>
        <horizontal/>
      </border>
    </dxf>
    <dxf>
      <border>
        <left style="thin">
          <color indexed="64"/>
        </left>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strike val="0"/>
        <condense val="0"/>
        <extend val="0"/>
        <outline val="0"/>
        <shadow val="0"/>
        <vertAlign val="baseline"/>
        <sz val="11"/>
        <color auto="1"/>
        <name val="Calibri"/>
      </font>
      <border outline="0">
        <left style="thin">
          <color indexed="64"/>
        </left>
        <right style="thin">
          <color indexed="64"/>
        </right>
        <top/>
        <bottom/>
      </border>
    </dxf>
  </dxfs>
  <tableStyles count="0" defaultTableStyle="TableStyleMedium9" defaultPivotStyle="PivotStyleLight16"/>
  <colors>
    <mruColors>
      <color rgb="FF3388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[FMCG_MIS_Dashboard.xlsx]Pivot Tables!Category Performance</c:name>
    <c:fmtId val="12"/>
  </c:pivotSource>
  <c:chart>
    <c:title>
      <c:overlay val="0"/>
    </c:title>
    <c:autoTitleDeleted val="0"/>
    <c:pivotFmts>
      <c:pivotFmt>
        <c:idx val="0"/>
        <c:spPr>
          <a:ln>
            <a:prstDash val="solid"/>
          </a:ln>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Tables'!$B$4</c:f>
              <c:strCache>
                <c:ptCount val="1"/>
                <c:pt idx="0">
                  <c:v>Sum of Net Sales</c:v>
                </c:pt>
              </c:strCache>
            </c:strRef>
          </c:tx>
          <c:spPr>
            <a:ln>
              <a:prstDash val="solid"/>
            </a:ln>
          </c:spPr>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1"/>
            <c:extLst>
              <c:ext xmlns:c15="http://schemas.microsoft.com/office/drawing/2012/chart" uri="{CE6537A1-D6FC-4f65-9D91-7224C49458BB}"/>
            </c:extLst>
          </c:dLbls>
          <c:cat>
            <c:strRef>
              <c:f>'Pivot Tables'!$A$5:$A$8</c:f>
              <c:strCache>
                <c:ptCount val="3"/>
                <c:pt idx="0">
                  <c:v>Beverages</c:v>
                </c:pt>
                <c:pt idx="1">
                  <c:v>Personal Care</c:v>
                </c:pt>
                <c:pt idx="2">
                  <c:v>Snacks</c:v>
                </c:pt>
              </c:strCache>
            </c:strRef>
          </c:cat>
          <c:val>
            <c:numRef>
              <c:f>'Pivot Tables'!$B$5:$B$8</c:f>
              <c:numCache>
                <c:formatCode>General</c:formatCode>
                <c:ptCount val="3"/>
                <c:pt idx="0">
                  <c:v>4891483.0999999987</c:v>
                </c:pt>
                <c:pt idx="1">
                  <c:v>3339849.799999998</c:v>
                </c:pt>
                <c:pt idx="2">
                  <c:v>1109184.8999999997</c:v>
                </c:pt>
              </c:numCache>
            </c:numRef>
          </c:val>
          <c:extLst>
            <c:ext xmlns:c16="http://schemas.microsoft.com/office/drawing/2014/chart" uri="{C3380CC4-5D6E-409C-BE32-E72D297353CC}">
              <c16:uniqueId val="{00000007-5614-4C5B-9D65-82B90A5FDFFC}"/>
            </c:ext>
          </c:extLst>
        </c:ser>
        <c:ser>
          <c:idx val="1"/>
          <c:order val="1"/>
          <c:tx>
            <c:strRef>
              <c:f>'Pivot Tables'!$C$4</c:f>
              <c:strCache>
                <c:ptCount val="1"/>
                <c:pt idx="0">
                  <c:v>% Share</c:v>
                </c:pt>
              </c:strCache>
            </c:strRef>
          </c:tx>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1"/>
            <c:extLst>
              <c:ext xmlns:c15="http://schemas.microsoft.com/office/drawing/2012/chart" uri="{CE6537A1-D6FC-4f65-9D91-7224C49458BB}"/>
            </c:extLst>
          </c:dLbls>
          <c:cat>
            <c:strRef>
              <c:f>'Pivot Tables'!$A$5:$A$8</c:f>
              <c:strCache>
                <c:ptCount val="3"/>
                <c:pt idx="0">
                  <c:v>Beverages</c:v>
                </c:pt>
                <c:pt idx="1">
                  <c:v>Personal Care</c:v>
                </c:pt>
                <c:pt idx="2">
                  <c:v>Snacks</c:v>
                </c:pt>
              </c:strCache>
            </c:strRef>
          </c:cat>
          <c:val>
            <c:numRef>
              <c:f>'Pivot Tables'!$C$5:$C$8</c:f>
              <c:numCache>
                <c:formatCode>0.00%</c:formatCode>
                <c:ptCount val="3"/>
                <c:pt idx="0">
                  <c:v>0.5236843614815444</c:v>
                </c:pt>
                <c:pt idx="1">
                  <c:v>0.35756580861073878</c:v>
                </c:pt>
                <c:pt idx="2">
                  <c:v>0.11874982990771668</c:v>
                </c:pt>
              </c:numCache>
            </c:numRef>
          </c:val>
          <c:extLst>
            <c:ext xmlns:c16="http://schemas.microsoft.com/office/drawing/2014/chart" uri="{C3380CC4-5D6E-409C-BE32-E72D297353CC}">
              <c16:uniqueId val="{00000008-5614-4C5B-9D65-82B90A5FDFFC}"/>
            </c:ext>
          </c:extLst>
        </c:ser>
        <c:dLbls>
          <c:dLblPos val="outEnd"/>
          <c:showLegendKey val="0"/>
          <c:showVal val="1"/>
          <c:showCatName val="0"/>
          <c:showSerName val="0"/>
          <c:showPercent val="0"/>
          <c:showBubbleSize val="0"/>
          <c:showLeaderLines val="1"/>
        </c:dLbls>
        <c:firstSliceAng val="0"/>
      </c:pieChart>
    </c:plotArea>
    <c:legend>
      <c:legendPos val="b"/>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Catego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[FMCG_MIS_Dashboard.xlsx]Pivot Tables!PivotTable7</c:name>
    <c:fmtId val="13"/>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IN"/>
              <a:t>Regional Sales vs Target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23330485156819"/>
          <c:y val="0.20583267456954574"/>
          <c:w val="0.83382003182641273"/>
          <c:h val="0.65025754867360042"/>
        </c:manualLayout>
      </c:layout>
      <c:barChart>
        <c:barDir val="col"/>
        <c:grouping val="clustered"/>
        <c:varyColors val="0"/>
        <c:ser>
          <c:idx val="0"/>
          <c:order val="0"/>
          <c:tx>
            <c:strRef>
              <c:f>'Pivot Tables'!$F$4</c:f>
              <c:strCache>
                <c:ptCount val="1"/>
                <c:pt idx="0">
                  <c:v>Sum of Net Sales</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hade val="95000"/>
                          <a:satMod val="105000"/>
                        </a:schemeClr>
                      </a:solidFill>
                      <a:prstDash val="solid"/>
                      <a:round/>
                    </a:ln>
                    <a:effectLst/>
                  </c:spPr>
                </c15:leaderLines>
              </c:ext>
            </c:extLst>
          </c:dLbls>
          <c:cat>
            <c:strRef>
              <c:f>'Pivot Tables'!$E$5:$E$9</c:f>
              <c:strCache>
                <c:ptCount val="4"/>
                <c:pt idx="0">
                  <c:v>East</c:v>
                </c:pt>
                <c:pt idx="1">
                  <c:v>North</c:v>
                </c:pt>
                <c:pt idx="2">
                  <c:v>South</c:v>
                </c:pt>
                <c:pt idx="3">
                  <c:v>West</c:v>
                </c:pt>
              </c:strCache>
            </c:strRef>
          </c:cat>
          <c:val>
            <c:numRef>
              <c:f>'Pivot Tables'!$F$5:$F$9</c:f>
              <c:numCache>
                <c:formatCode>#,##0</c:formatCode>
                <c:ptCount val="4"/>
                <c:pt idx="0">
                  <c:v>2518743.1499999994</c:v>
                </c:pt>
                <c:pt idx="1">
                  <c:v>2292004.1999999979</c:v>
                </c:pt>
                <c:pt idx="2">
                  <c:v>2205749.4999999995</c:v>
                </c:pt>
                <c:pt idx="3">
                  <c:v>2324020.9499999997</c:v>
                </c:pt>
              </c:numCache>
            </c:numRef>
          </c:val>
          <c:extLst>
            <c:ext xmlns:c16="http://schemas.microsoft.com/office/drawing/2014/chart" uri="{C3380CC4-5D6E-409C-BE32-E72D297353CC}">
              <c16:uniqueId val="{00000004-A8E4-41BA-833D-0977180F483E}"/>
            </c:ext>
          </c:extLst>
        </c:ser>
        <c:ser>
          <c:idx val="1"/>
          <c:order val="1"/>
          <c:tx>
            <c:strRef>
              <c:f>'Pivot Tables'!$G$4</c:f>
              <c:strCache>
                <c:ptCount val="1"/>
                <c:pt idx="0">
                  <c:v>Sum of Target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hade val="95000"/>
                          <a:satMod val="105000"/>
                        </a:schemeClr>
                      </a:solidFill>
                      <a:prstDash val="solid"/>
                      <a:round/>
                    </a:ln>
                    <a:effectLst/>
                  </c:spPr>
                </c15:leaderLines>
              </c:ext>
            </c:extLst>
          </c:dLbls>
          <c:cat>
            <c:strRef>
              <c:f>'Pivot Tables'!$E$5:$E$9</c:f>
              <c:strCache>
                <c:ptCount val="4"/>
                <c:pt idx="0">
                  <c:v>East</c:v>
                </c:pt>
                <c:pt idx="1">
                  <c:v>North</c:v>
                </c:pt>
                <c:pt idx="2">
                  <c:v>South</c:v>
                </c:pt>
                <c:pt idx="3">
                  <c:v>West</c:v>
                </c:pt>
              </c:strCache>
            </c:strRef>
          </c:cat>
          <c:val>
            <c:numRef>
              <c:f>'Pivot Tables'!$G$5:$G$9</c:f>
              <c:numCache>
                <c:formatCode>#,##0</c:formatCode>
                <c:ptCount val="4"/>
                <c:pt idx="0">
                  <c:v>2542442.5100000021</c:v>
                </c:pt>
                <c:pt idx="1">
                  <c:v>2321992.0700000003</c:v>
                </c:pt>
                <c:pt idx="2">
                  <c:v>2237089.8599999994</c:v>
                </c:pt>
                <c:pt idx="3">
                  <c:v>2285677.2399999988</c:v>
                </c:pt>
              </c:numCache>
            </c:numRef>
          </c:val>
          <c:extLst>
            <c:ext xmlns:c16="http://schemas.microsoft.com/office/drawing/2014/chart" uri="{C3380CC4-5D6E-409C-BE32-E72D297353CC}">
              <c16:uniqueId val="{00000006-A8E4-41BA-833D-0977180F483E}"/>
            </c:ext>
          </c:extLst>
        </c:ser>
        <c:dLbls>
          <c:dLblPos val="outEnd"/>
          <c:showLegendKey val="0"/>
          <c:showVal val="1"/>
          <c:showCatName val="0"/>
          <c:showSerName val="0"/>
          <c:showPercent val="0"/>
          <c:showBubbleSize val="0"/>
        </c:dLbls>
        <c:gapWidth val="150"/>
        <c:axId val="10"/>
        <c:axId val="100"/>
      </c:barChart>
      <c:catAx>
        <c:axId val="1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0"/>
        <c:crosses val="autoZero"/>
        <c:auto val="0"/>
        <c:lblAlgn val="ctr"/>
        <c:lblOffset val="100"/>
        <c:noMultiLvlLbl val="0"/>
      </c:catAx>
      <c:valAx>
        <c:axId val="100"/>
        <c:scaling>
          <c:orientation val="minMax"/>
        </c:scaling>
        <c:delete val="0"/>
        <c:axPos val="l"/>
        <c:majorGridlines>
          <c:spPr>
            <a:ln w="9525" cap="flat" cmpd="sng" algn="ctr">
              <a:solidFill>
                <a:schemeClr val="tx1">
                  <a:tint val="75000"/>
                  <a:shade val="95000"/>
                  <a:satMod val="105000"/>
                </a:schemeClr>
              </a:solidFill>
              <a:prstDash val="solid"/>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a:t>Sales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
        <c:crosses val="autoZero"/>
        <c:crossBetween val="between"/>
      </c:valAx>
      <c:spPr>
        <a:solidFill>
          <a:schemeClr val="bg1"/>
        </a:solid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[FMCG_MIS_Dashboard.xlsx]Pivot Tables!PivotTable9</c:name>
    <c:fmtId val="13"/>
  </c:pivotSource>
  <c:chart>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en-IN" sz="1800" b="1" i="0" u="none" strike="noStrike" kern="1200" baseline="0">
                <a:solidFill>
                  <a:sysClr val="windowText" lastClr="000000"/>
                </a:solidFill>
              </a:rPr>
              <a:t>Monthly Sales Trend &amp; Progression</a:t>
            </a:r>
          </a:p>
        </c:rich>
      </c:tx>
      <c:overlay val="0"/>
    </c:title>
    <c:autoTitleDeleted val="0"/>
    <c:pivotFmts>
      <c:pivotFmt>
        <c:idx val="0"/>
        <c:spPr>
          <a:ln>
            <a:prstDash val="solid"/>
          </a:ln>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Tables'!$B$14</c:f>
              <c:strCache>
                <c:ptCount val="1"/>
                <c:pt idx="0">
                  <c:v>Total</c:v>
                </c:pt>
              </c:strCache>
            </c:strRef>
          </c:tx>
          <c:spPr>
            <a:ln>
              <a:prstDash val="solid"/>
            </a:ln>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Tables'!$A$15:$A$21</c:f>
              <c:strCache>
                <c:ptCount val="6"/>
                <c:pt idx="0">
                  <c:v>Jan</c:v>
                </c:pt>
                <c:pt idx="1">
                  <c:v>Feb</c:v>
                </c:pt>
                <c:pt idx="2">
                  <c:v>Mar</c:v>
                </c:pt>
                <c:pt idx="3">
                  <c:v>Apr</c:v>
                </c:pt>
                <c:pt idx="4">
                  <c:v>May</c:v>
                </c:pt>
                <c:pt idx="5">
                  <c:v>Jun</c:v>
                </c:pt>
              </c:strCache>
            </c:strRef>
          </c:cat>
          <c:val>
            <c:numRef>
              <c:f>'Pivot Tables'!$B$15:$B$21</c:f>
              <c:numCache>
                <c:formatCode>#,##0</c:formatCode>
                <c:ptCount val="6"/>
                <c:pt idx="0">
                  <c:v>1493583.6500000001</c:v>
                </c:pt>
                <c:pt idx="1">
                  <c:v>1326844.3500000003</c:v>
                </c:pt>
                <c:pt idx="2">
                  <c:v>1394355.3499999999</c:v>
                </c:pt>
                <c:pt idx="3">
                  <c:v>1460733.9499999997</c:v>
                </c:pt>
                <c:pt idx="4">
                  <c:v>1588763.15</c:v>
                </c:pt>
                <c:pt idx="5">
                  <c:v>2076237.3499999992</c:v>
                </c:pt>
              </c:numCache>
            </c:numRef>
          </c:val>
          <c:extLst>
            <c:ext xmlns:c16="http://schemas.microsoft.com/office/drawing/2014/chart" uri="{C3380CC4-5D6E-409C-BE32-E72D297353CC}">
              <c16:uniqueId val="{00000003-5250-4BF7-87E6-7312930AF0E1}"/>
            </c:ext>
          </c:extLst>
        </c:ser>
        <c:dLbls>
          <c:dLblPos val="outEnd"/>
          <c:showLegendKey val="0"/>
          <c:showVal val="1"/>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IN"/>
                  <a:t>Month</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IN"/>
                  <a:t>Net Sales (₹)</a:t>
                </a:r>
              </a:p>
            </c:rich>
          </c:tx>
          <c:overlay val="0"/>
        </c:title>
        <c:numFmt formatCode="#,##0" sourceLinked="1"/>
        <c:majorTickMark val="none"/>
        <c:minorTickMark val="none"/>
        <c:tickLblPos val="nextTo"/>
        <c:crossAx val="10"/>
        <c:crosses val="autoZero"/>
        <c:crossBetween val="between"/>
      </c:valAx>
    </c:plotArea>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[FMCG_MIS_Dashboard.xlsx]Pivot Tables!PivotTable12</c:name>
    <c:fmtId val="18"/>
  </c:pivotSource>
  <c:chart>
    <c:title>
      <c:tx>
        <c:rich>
          <a:bodyPr/>
          <a:lstStyle/>
          <a:p>
            <a:pPr>
              <a:defRPr/>
            </a:pPr>
            <a:r>
              <a:rPr lang="en-IN"/>
              <a:t>Net Sales by Product</a:t>
            </a:r>
          </a:p>
        </c:rich>
      </c:tx>
      <c:overlay val="0"/>
    </c:title>
    <c:autoTitleDeleted val="0"/>
    <c:pivotFmts>
      <c:pivotFmt>
        <c:idx val="0"/>
        <c:spPr>
          <a:ln>
            <a:prstDash val="solid"/>
          </a:ln>
        </c:spPr>
        <c:marker>
          <c:symbol val="none"/>
        </c:marker>
        <c:dLbl>
          <c:idx val="0"/>
          <c:spPr>
            <a:noFill/>
            <a:ln>
              <a:noFill/>
              <a:prstDash val="solid"/>
            </a:ln>
          </c:spPr>
          <c:txPr>
            <a:bodyPr wrap="square" lIns="38100" tIns="19050" rIns="38100" bIns="19050" anchor="ctr">
              <a:spAutoFit/>
            </a:bodyPr>
            <a:lstStyle/>
            <a:p>
              <a:pPr>
                <a:defRPr>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Tables'!$F$14</c:f>
              <c:strCache>
                <c:ptCount val="1"/>
                <c:pt idx="0">
                  <c:v>Sum of Net Sales</c:v>
                </c:pt>
              </c:strCache>
            </c:strRef>
          </c:tx>
          <c:spPr>
            <a:ln>
              <a:prstDash val="solid"/>
            </a:ln>
          </c:spPr>
          <c:invertIfNegative val="0"/>
          <c:dLbls>
            <c:spPr>
              <a:noFill/>
              <a:ln>
                <a:noFill/>
                <a:prstDash val="solid"/>
              </a:ln>
            </c:spPr>
            <c:txPr>
              <a:bodyPr wrap="square" lIns="38100" tIns="19050" rIns="38100" bIns="19050" anchor="ctr">
                <a:spAutoFit/>
              </a:bodyPr>
              <a:lstStyle/>
              <a:p>
                <a:pPr>
                  <a:defRPr>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Tables'!$E$15:$E$21</c:f>
              <c:strCache>
                <c:ptCount val="6"/>
                <c:pt idx="0">
                  <c:v>Biscuits</c:v>
                </c:pt>
                <c:pt idx="1">
                  <c:v>Chips</c:v>
                </c:pt>
                <c:pt idx="2">
                  <c:v>Coffee</c:v>
                </c:pt>
                <c:pt idx="3">
                  <c:v>Shampoo</c:v>
                </c:pt>
                <c:pt idx="4">
                  <c:v>Soap</c:v>
                </c:pt>
                <c:pt idx="5">
                  <c:v>Tea</c:v>
                </c:pt>
              </c:strCache>
            </c:strRef>
          </c:cat>
          <c:val>
            <c:numRef>
              <c:f>'Pivot Tables'!$F$15:$F$21</c:f>
              <c:numCache>
                <c:formatCode>General</c:formatCode>
                <c:ptCount val="6"/>
                <c:pt idx="0">
                  <c:v>462342.90000000031</c:v>
                </c:pt>
                <c:pt idx="1">
                  <c:v>646842.00000000047</c:v>
                </c:pt>
                <c:pt idx="2">
                  <c:v>3326307.5</c:v>
                </c:pt>
                <c:pt idx="3">
                  <c:v>2719281.5999999992</c:v>
                </c:pt>
                <c:pt idx="4">
                  <c:v>620568.20000000007</c:v>
                </c:pt>
                <c:pt idx="5">
                  <c:v>1565175.6000000003</c:v>
                </c:pt>
              </c:numCache>
            </c:numRef>
          </c:val>
          <c:extLst>
            <c:ext xmlns:c16="http://schemas.microsoft.com/office/drawing/2014/chart" uri="{C3380CC4-5D6E-409C-BE32-E72D297353CC}">
              <c16:uniqueId val="{00000004-6401-4918-9D65-F29E07F8640D}"/>
            </c:ext>
          </c:extLst>
        </c:ser>
        <c:ser>
          <c:idx val="1"/>
          <c:order val="1"/>
          <c:tx>
            <c:strRef>
              <c:f>'Pivot Tables'!$G$14</c:f>
              <c:strCache>
                <c:ptCount val="1"/>
                <c:pt idx="0">
                  <c:v>Sum of Units Sold</c:v>
                </c:pt>
              </c:strCache>
            </c:strRef>
          </c:tx>
          <c:invertIfNegative val="0"/>
          <c:dLbls>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Tables'!$E$15:$E$21</c:f>
              <c:strCache>
                <c:ptCount val="6"/>
                <c:pt idx="0">
                  <c:v>Biscuits</c:v>
                </c:pt>
                <c:pt idx="1">
                  <c:v>Chips</c:v>
                </c:pt>
                <c:pt idx="2">
                  <c:v>Coffee</c:v>
                </c:pt>
                <c:pt idx="3">
                  <c:v>Shampoo</c:v>
                </c:pt>
                <c:pt idx="4">
                  <c:v>Soap</c:v>
                </c:pt>
                <c:pt idx="5">
                  <c:v>Tea</c:v>
                </c:pt>
              </c:strCache>
            </c:strRef>
          </c:cat>
          <c:val>
            <c:numRef>
              <c:f>'Pivot Tables'!$G$15:$G$21</c:f>
              <c:numCache>
                <c:formatCode>General</c:formatCode>
                <c:ptCount val="6"/>
                <c:pt idx="0">
                  <c:v>16701</c:v>
                </c:pt>
                <c:pt idx="1">
                  <c:v>17479</c:v>
                </c:pt>
                <c:pt idx="2">
                  <c:v>14368</c:v>
                </c:pt>
                <c:pt idx="3">
                  <c:v>16363</c:v>
                </c:pt>
                <c:pt idx="4">
                  <c:v>19245</c:v>
                </c:pt>
                <c:pt idx="5">
                  <c:v>14096</c:v>
                </c:pt>
              </c:numCache>
            </c:numRef>
          </c:val>
          <c:extLst>
            <c:ext xmlns:c16="http://schemas.microsoft.com/office/drawing/2014/chart" uri="{C3380CC4-5D6E-409C-BE32-E72D297353CC}">
              <c16:uniqueId val="{00000005-6401-4918-9D65-F29E07F8640D}"/>
            </c:ext>
          </c:extLst>
        </c:ser>
        <c:dLbls>
          <c:dLblPos val="ctr"/>
          <c:showLegendKey val="0"/>
          <c:showVal val="1"/>
          <c:showCatName val="0"/>
          <c:showSerName val="0"/>
          <c:showPercent val="0"/>
          <c:showBubbleSize val="0"/>
        </c:dLbls>
        <c:gapWidth val="150"/>
        <c:axId val="10"/>
        <c:axId val="100"/>
      </c:barChart>
      <c:catAx>
        <c:axId val="10"/>
        <c:scaling>
          <c:orientation val="minMax"/>
        </c:scaling>
        <c:delete val="0"/>
        <c:axPos val="l"/>
        <c:title>
          <c:tx>
            <c:rich>
              <a:bodyPr/>
              <a:lstStyle/>
              <a:p>
                <a:pPr>
                  <a:defRPr/>
                </a:pPr>
                <a:r>
                  <a:rPr lang="en-IN"/>
                  <a:t>Net Sales (₹)</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b"/>
        <c:majorGridlines/>
        <c:title>
          <c:tx>
            <c:rich>
              <a:bodyPr/>
              <a:lstStyle/>
              <a:p>
                <a:pPr>
                  <a:defRPr/>
                </a:pPr>
                <a:r>
                  <a:rPr lang="en-IN"/>
                  <a:t>Product</a:t>
                </a:r>
              </a:p>
            </c:rich>
          </c:tx>
          <c:overlay val="0"/>
        </c:title>
        <c:numFmt formatCode="General" sourceLinked="1"/>
        <c:majorTickMark val="none"/>
        <c:minorTickMark val="none"/>
        <c:tickLblPos val="nextTo"/>
        <c:crossAx val="10"/>
        <c:crosses val="autoZero"/>
        <c:crossBetween val="between"/>
      </c:valAx>
    </c:plotArea>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[FMCG_MIS_Dashboard.xlsx]Pivot Tables!PivotTable14</c:name>
    <c:fmtId val="1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600" b="1" i="0" u="none" strike="noStrike" cap="all" normalizeH="0" baseline="0">
                <a:solidFill>
                  <a:schemeClr val="tx1"/>
                </a:solidFill>
              </a:rPr>
              <a:t>Monthly Units Sold Trend</a:t>
            </a:r>
            <a:endParaRPr lang="en-IN">
              <a:solidFill>
                <a:schemeClr val="tx1"/>
              </a:solidFill>
            </a:endParaRPr>
          </a:p>
        </c:rich>
      </c:tx>
      <c:layout>
        <c:manualLayout>
          <c:xMode val="edge"/>
          <c:yMode val="edge"/>
          <c:x val="0.25939973214683432"/>
          <c:y val="3.3761396937602085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22225" cap="rnd">
            <a:solidFill>
              <a:schemeClr val="accent1"/>
            </a:solidFill>
            <a:round/>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22225" cap="rnd">
            <a:solidFill>
              <a:schemeClr val="accent1"/>
            </a:solidFill>
            <a:round/>
          </a:ln>
          <a:effectLst/>
        </c:spPr>
        <c:marker>
          <c:symbol val="x"/>
          <c:size val="6"/>
          <c:spPr>
            <a:no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22225" cap="rnd">
            <a:solidFill>
              <a:schemeClr val="accent1"/>
            </a:solidFill>
            <a:round/>
          </a:ln>
          <a:effectLst/>
        </c:spPr>
        <c:marker>
          <c:symbol val="star"/>
          <c:size val="6"/>
          <c:spPr>
            <a:no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2225" cap="rnd">
            <a:solidFill>
              <a:schemeClr val="accent1"/>
            </a:solidFill>
            <a:round/>
          </a:ln>
          <a:effectLst/>
        </c:spPr>
        <c:marker>
          <c:symbol val="circle"/>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931075962764793E-2"/>
          <c:y val="6.3649999440144947E-2"/>
          <c:w val="0.8265504487253521"/>
          <c:h val="0.85227428103177971"/>
        </c:manualLayout>
      </c:layout>
      <c:lineChart>
        <c:grouping val="stacked"/>
        <c:varyColors val="0"/>
        <c:ser>
          <c:idx val="0"/>
          <c:order val="0"/>
          <c:tx>
            <c:strRef>
              <c:f>'Pivot Tables'!$K$4:$K$5</c:f>
              <c:strCache>
                <c:ptCount val="1"/>
                <c:pt idx="0">
                  <c:v>Biscuits</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Tables'!$J$6:$J$12</c:f>
              <c:strCache>
                <c:ptCount val="6"/>
                <c:pt idx="0">
                  <c:v>Jan</c:v>
                </c:pt>
                <c:pt idx="1">
                  <c:v>Feb</c:v>
                </c:pt>
                <c:pt idx="2">
                  <c:v>Mar</c:v>
                </c:pt>
                <c:pt idx="3">
                  <c:v>Apr</c:v>
                </c:pt>
                <c:pt idx="4">
                  <c:v>May</c:v>
                </c:pt>
                <c:pt idx="5">
                  <c:v>Jun</c:v>
                </c:pt>
              </c:strCache>
            </c:strRef>
          </c:cat>
          <c:val>
            <c:numRef>
              <c:f>'Pivot Tables'!$K$6:$K$12</c:f>
              <c:numCache>
                <c:formatCode>General</c:formatCode>
                <c:ptCount val="6"/>
                <c:pt idx="0">
                  <c:v>1942</c:v>
                </c:pt>
                <c:pt idx="1">
                  <c:v>3615</c:v>
                </c:pt>
                <c:pt idx="2">
                  <c:v>4102</c:v>
                </c:pt>
                <c:pt idx="3">
                  <c:v>2370</c:v>
                </c:pt>
                <c:pt idx="4">
                  <c:v>2300</c:v>
                </c:pt>
                <c:pt idx="5">
                  <c:v>2372</c:v>
                </c:pt>
              </c:numCache>
            </c:numRef>
          </c:val>
          <c:smooth val="0"/>
          <c:extLst>
            <c:ext xmlns:c16="http://schemas.microsoft.com/office/drawing/2014/chart" uri="{C3380CC4-5D6E-409C-BE32-E72D297353CC}">
              <c16:uniqueId val="{00000000-C200-4F28-A9DA-2A395E35BE61}"/>
            </c:ext>
          </c:extLst>
        </c:ser>
        <c:ser>
          <c:idx val="1"/>
          <c:order val="1"/>
          <c:tx>
            <c:strRef>
              <c:f>'Pivot Tables'!$L$4:$L$5</c:f>
              <c:strCache>
                <c:ptCount val="1"/>
                <c:pt idx="0">
                  <c:v>Chips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Tables'!$J$6:$J$12</c:f>
              <c:strCache>
                <c:ptCount val="6"/>
                <c:pt idx="0">
                  <c:v>Jan</c:v>
                </c:pt>
                <c:pt idx="1">
                  <c:v>Feb</c:v>
                </c:pt>
                <c:pt idx="2">
                  <c:v>Mar</c:v>
                </c:pt>
                <c:pt idx="3">
                  <c:v>Apr</c:v>
                </c:pt>
                <c:pt idx="4">
                  <c:v>May</c:v>
                </c:pt>
                <c:pt idx="5">
                  <c:v>Jun</c:v>
                </c:pt>
              </c:strCache>
            </c:strRef>
          </c:cat>
          <c:val>
            <c:numRef>
              <c:f>'Pivot Tables'!$L$6:$L$12</c:f>
              <c:numCache>
                <c:formatCode>General</c:formatCode>
                <c:ptCount val="6"/>
                <c:pt idx="0">
                  <c:v>3609</c:v>
                </c:pt>
                <c:pt idx="1">
                  <c:v>2614</c:v>
                </c:pt>
                <c:pt idx="2">
                  <c:v>1898</c:v>
                </c:pt>
                <c:pt idx="3">
                  <c:v>3696</c:v>
                </c:pt>
                <c:pt idx="4">
                  <c:v>2967</c:v>
                </c:pt>
                <c:pt idx="5">
                  <c:v>2695</c:v>
                </c:pt>
              </c:numCache>
            </c:numRef>
          </c:val>
          <c:smooth val="0"/>
          <c:extLst>
            <c:ext xmlns:c16="http://schemas.microsoft.com/office/drawing/2014/chart" uri="{C3380CC4-5D6E-409C-BE32-E72D297353CC}">
              <c16:uniqueId val="{00000007-C200-4F28-A9DA-2A395E35BE61}"/>
            </c:ext>
          </c:extLst>
        </c:ser>
        <c:ser>
          <c:idx val="2"/>
          <c:order val="2"/>
          <c:tx>
            <c:strRef>
              <c:f>'Pivot Tables'!$M$4:$M$5</c:f>
              <c:strCache>
                <c:ptCount val="1"/>
                <c:pt idx="0">
                  <c:v>Coffee</c:v>
                </c:pt>
              </c:strCache>
            </c:strRef>
          </c:tx>
          <c:spPr>
            <a:ln w="22225" cap="rnd">
              <a:solidFill>
                <a:schemeClr val="accent3"/>
              </a:solidFill>
              <a:round/>
            </a:ln>
            <a:effectLst/>
          </c:spPr>
          <c:marker>
            <c:symbol val="triangle"/>
            <c:size val="6"/>
            <c:spPr>
              <a:solidFill>
                <a:schemeClr val="accent3"/>
              </a:solidFill>
              <a:ln w="9525">
                <a:solidFill>
                  <a:schemeClr val="accent3"/>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Tables'!$J$6:$J$12</c:f>
              <c:strCache>
                <c:ptCount val="6"/>
                <c:pt idx="0">
                  <c:v>Jan</c:v>
                </c:pt>
                <c:pt idx="1">
                  <c:v>Feb</c:v>
                </c:pt>
                <c:pt idx="2">
                  <c:v>Mar</c:v>
                </c:pt>
                <c:pt idx="3">
                  <c:v>Apr</c:v>
                </c:pt>
                <c:pt idx="4">
                  <c:v>May</c:v>
                </c:pt>
                <c:pt idx="5">
                  <c:v>Jun</c:v>
                </c:pt>
              </c:strCache>
            </c:strRef>
          </c:cat>
          <c:val>
            <c:numRef>
              <c:f>'Pivot Tables'!$M$6:$M$12</c:f>
              <c:numCache>
                <c:formatCode>General</c:formatCode>
                <c:ptCount val="6"/>
                <c:pt idx="0">
                  <c:v>2074</c:v>
                </c:pt>
                <c:pt idx="1">
                  <c:v>1949</c:v>
                </c:pt>
                <c:pt idx="2">
                  <c:v>1992</c:v>
                </c:pt>
                <c:pt idx="3">
                  <c:v>2547</c:v>
                </c:pt>
                <c:pt idx="4">
                  <c:v>1847</c:v>
                </c:pt>
                <c:pt idx="5">
                  <c:v>3959</c:v>
                </c:pt>
              </c:numCache>
            </c:numRef>
          </c:val>
          <c:smooth val="0"/>
          <c:extLst>
            <c:ext xmlns:c16="http://schemas.microsoft.com/office/drawing/2014/chart" uri="{C3380CC4-5D6E-409C-BE32-E72D297353CC}">
              <c16:uniqueId val="{0000001A-C200-4F28-A9DA-2A395E35BE61}"/>
            </c:ext>
          </c:extLst>
        </c:ser>
        <c:ser>
          <c:idx val="3"/>
          <c:order val="3"/>
          <c:tx>
            <c:strRef>
              <c:f>'Pivot Tables'!$N$4:$N$5</c:f>
              <c:strCache>
                <c:ptCount val="1"/>
                <c:pt idx="0">
                  <c:v>Shampoo</c:v>
                </c:pt>
              </c:strCache>
            </c:strRef>
          </c:tx>
          <c:spPr>
            <a:ln w="22225" cap="rnd">
              <a:solidFill>
                <a:schemeClr val="accent4"/>
              </a:solidFill>
              <a:round/>
            </a:ln>
            <a:effectLst/>
          </c:spPr>
          <c:marker>
            <c:symbol val="x"/>
            <c:size val="6"/>
            <c:spPr>
              <a:noFill/>
              <a:ln w="9525">
                <a:solidFill>
                  <a:schemeClr val="accent4"/>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Tables'!$J$6:$J$12</c:f>
              <c:strCache>
                <c:ptCount val="6"/>
                <c:pt idx="0">
                  <c:v>Jan</c:v>
                </c:pt>
                <c:pt idx="1">
                  <c:v>Feb</c:v>
                </c:pt>
                <c:pt idx="2">
                  <c:v>Mar</c:v>
                </c:pt>
                <c:pt idx="3">
                  <c:v>Apr</c:v>
                </c:pt>
                <c:pt idx="4">
                  <c:v>May</c:v>
                </c:pt>
                <c:pt idx="5">
                  <c:v>Jun</c:v>
                </c:pt>
              </c:strCache>
            </c:strRef>
          </c:cat>
          <c:val>
            <c:numRef>
              <c:f>'Pivot Tables'!$N$6:$N$12</c:f>
              <c:numCache>
                <c:formatCode>General</c:formatCode>
                <c:ptCount val="6"/>
                <c:pt idx="0">
                  <c:v>3548</c:v>
                </c:pt>
                <c:pt idx="1">
                  <c:v>2353</c:v>
                </c:pt>
                <c:pt idx="2">
                  <c:v>2221</c:v>
                </c:pt>
                <c:pt idx="3">
                  <c:v>1583</c:v>
                </c:pt>
                <c:pt idx="4">
                  <c:v>3240</c:v>
                </c:pt>
                <c:pt idx="5">
                  <c:v>3418</c:v>
                </c:pt>
              </c:numCache>
            </c:numRef>
          </c:val>
          <c:smooth val="0"/>
          <c:extLst>
            <c:ext xmlns:c16="http://schemas.microsoft.com/office/drawing/2014/chart" uri="{C3380CC4-5D6E-409C-BE32-E72D297353CC}">
              <c16:uniqueId val="{0000001B-C200-4F28-A9DA-2A395E35BE61}"/>
            </c:ext>
          </c:extLst>
        </c:ser>
        <c:ser>
          <c:idx val="4"/>
          <c:order val="4"/>
          <c:tx>
            <c:strRef>
              <c:f>'Pivot Tables'!$O$4:$O$5</c:f>
              <c:strCache>
                <c:ptCount val="1"/>
                <c:pt idx="0">
                  <c:v>Soap</c:v>
                </c:pt>
              </c:strCache>
            </c:strRef>
          </c:tx>
          <c:spPr>
            <a:ln w="22225" cap="rnd">
              <a:solidFill>
                <a:schemeClr val="accent5"/>
              </a:solidFill>
              <a:round/>
            </a:ln>
            <a:effectLst/>
          </c:spPr>
          <c:marker>
            <c:symbol val="star"/>
            <c:size val="6"/>
            <c:spPr>
              <a:noFill/>
              <a:ln w="9525">
                <a:solidFill>
                  <a:schemeClr val="accent5"/>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Tables'!$J$6:$J$12</c:f>
              <c:strCache>
                <c:ptCount val="6"/>
                <c:pt idx="0">
                  <c:v>Jan</c:v>
                </c:pt>
                <c:pt idx="1">
                  <c:v>Feb</c:v>
                </c:pt>
                <c:pt idx="2">
                  <c:v>Mar</c:v>
                </c:pt>
                <c:pt idx="3">
                  <c:v>Apr</c:v>
                </c:pt>
                <c:pt idx="4">
                  <c:v>May</c:v>
                </c:pt>
                <c:pt idx="5">
                  <c:v>Jun</c:v>
                </c:pt>
              </c:strCache>
            </c:strRef>
          </c:cat>
          <c:val>
            <c:numRef>
              <c:f>'Pivot Tables'!$O$6:$O$12</c:f>
              <c:numCache>
                <c:formatCode>General</c:formatCode>
                <c:ptCount val="6"/>
                <c:pt idx="0">
                  <c:v>2092</c:v>
                </c:pt>
                <c:pt idx="1">
                  <c:v>2800</c:v>
                </c:pt>
                <c:pt idx="2">
                  <c:v>3565</c:v>
                </c:pt>
                <c:pt idx="3">
                  <c:v>3326</c:v>
                </c:pt>
                <c:pt idx="4">
                  <c:v>3955</c:v>
                </c:pt>
                <c:pt idx="5">
                  <c:v>3507</c:v>
                </c:pt>
              </c:numCache>
            </c:numRef>
          </c:val>
          <c:smooth val="0"/>
          <c:extLst>
            <c:ext xmlns:c16="http://schemas.microsoft.com/office/drawing/2014/chart" uri="{C3380CC4-5D6E-409C-BE32-E72D297353CC}">
              <c16:uniqueId val="{0000001E-C200-4F28-A9DA-2A395E35BE61}"/>
            </c:ext>
          </c:extLst>
        </c:ser>
        <c:ser>
          <c:idx val="5"/>
          <c:order val="5"/>
          <c:tx>
            <c:strRef>
              <c:f>'Pivot Tables'!$P$4:$P$5</c:f>
              <c:strCache>
                <c:ptCount val="1"/>
                <c:pt idx="0">
                  <c:v>Tea</c:v>
                </c:pt>
              </c:strCache>
            </c:strRef>
          </c:tx>
          <c:spPr>
            <a:ln w="22225" cap="rnd">
              <a:solidFill>
                <a:schemeClr val="accent6"/>
              </a:solidFill>
              <a:round/>
            </a:ln>
            <a:effectLst/>
          </c:spPr>
          <c:marker>
            <c:symbol val="circle"/>
            <c:size val="6"/>
            <c:spPr>
              <a:solidFill>
                <a:schemeClr val="accent6"/>
              </a:solidFill>
              <a:ln w="9525">
                <a:solidFill>
                  <a:schemeClr val="accent6"/>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Tables'!$J$6:$J$12</c:f>
              <c:strCache>
                <c:ptCount val="6"/>
                <c:pt idx="0">
                  <c:v>Jan</c:v>
                </c:pt>
                <c:pt idx="1">
                  <c:v>Feb</c:v>
                </c:pt>
                <c:pt idx="2">
                  <c:v>Mar</c:v>
                </c:pt>
                <c:pt idx="3">
                  <c:v>Apr</c:v>
                </c:pt>
                <c:pt idx="4">
                  <c:v>May</c:v>
                </c:pt>
                <c:pt idx="5">
                  <c:v>Jun</c:v>
                </c:pt>
              </c:strCache>
            </c:strRef>
          </c:cat>
          <c:val>
            <c:numRef>
              <c:f>'Pivot Tables'!$P$6:$P$12</c:f>
              <c:numCache>
                <c:formatCode>General</c:formatCode>
                <c:ptCount val="6"/>
                <c:pt idx="0">
                  <c:v>1428</c:v>
                </c:pt>
                <c:pt idx="1">
                  <c:v>1834</c:v>
                </c:pt>
                <c:pt idx="2">
                  <c:v>2365</c:v>
                </c:pt>
                <c:pt idx="3">
                  <c:v>2639</c:v>
                </c:pt>
                <c:pt idx="4">
                  <c:v>2878</c:v>
                </c:pt>
                <c:pt idx="5">
                  <c:v>2952</c:v>
                </c:pt>
              </c:numCache>
            </c:numRef>
          </c:val>
          <c:smooth val="0"/>
          <c:extLst>
            <c:ext xmlns:c16="http://schemas.microsoft.com/office/drawing/2014/chart" uri="{C3380CC4-5D6E-409C-BE32-E72D297353CC}">
              <c16:uniqueId val="{0000001F-C200-4F28-A9DA-2A395E35BE61}"/>
            </c:ext>
          </c:extLst>
        </c:ser>
        <c:dLbls>
          <c:dLblPos val="t"/>
          <c:showLegendKey val="0"/>
          <c:showVal val="1"/>
          <c:showCatName val="0"/>
          <c:showSerName val="0"/>
          <c:showPercent val="0"/>
          <c:showBubbleSize val="0"/>
        </c:dLbls>
        <c:marker val="1"/>
        <c:smooth val="0"/>
        <c:axId val="548185951"/>
        <c:axId val="694646351"/>
      </c:lineChart>
      <c:catAx>
        <c:axId val="548185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94646351"/>
        <c:crosses val="autoZero"/>
        <c:auto val="1"/>
        <c:lblAlgn val="ctr"/>
        <c:lblOffset val="100"/>
        <c:noMultiLvlLbl val="0"/>
      </c:catAx>
      <c:valAx>
        <c:axId val="694646351"/>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18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[FMCG_MIS_Dashboard.xlsx]Pivot Tables!PivotTable18</c:name>
    <c:fmtId val="27"/>
  </c:pivotSource>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mn-lt"/>
                <a:ea typeface="+mn-ea"/>
                <a:cs typeface="+mn-cs"/>
              </a:defRPr>
            </a:pPr>
            <a:r>
              <a:rPr lang="en-US" sz="1800" b="1" i="0" u="none" strike="noStrike" kern="1200" baseline="0">
                <a:solidFill>
                  <a:sysClr val="windowText" lastClr="000000"/>
                </a:solidFill>
                <a:latin typeface="+mn-lt"/>
                <a:ea typeface="+mn-ea"/>
                <a:cs typeface="+mn-cs"/>
              </a:rPr>
              <a:t>Total Units Sold by State</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Tables'!$J$15:$J$26</c:f>
              <c:strCache>
                <c:ptCount val="11"/>
                <c:pt idx="0">
                  <c:v>AP</c:v>
                </c:pt>
                <c:pt idx="1">
                  <c:v>DL</c:v>
                </c:pt>
                <c:pt idx="2">
                  <c:v>GJ</c:v>
                </c:pt>
                <c:pt idx="3">
                  <c:v>HR</c:v>
                </c:pt>
                <c:pt idx="4">
                  <c:v>KA</c:v>
                </c:pt>
                <c:pt idx="5">
                  <c:v>MH</c:v>
                </c:pt>
                <c:pt idx="6">
                  <c:v>OD</c:v>
                </c:pt>
                <c:pt idx="7">
                  <c:v>PB</c:v>
                </c:pt>
                <c:pt idx="8">
                  <c:v>TN</c:v>
                </c:pt>
                <c:pt idx="9">
                  <c:v>TS</c:v>
                </c:pt>
                <c:pt idx="10">
                  <c:v>WB</c:v>
                </c:pt>
              </c:strCache>
            </c:strRef>
          </c:cat>
          <c:val>
            <c:numRef>
              <c:f>'Pivot Tables'!$K$15:$K$26</c:f>
              <c:numCache>
                <c:formatCode>General</c:formatCode>
                <c:ptCount val="11"/>
                <c:pt idx="0">
                  <c:v>5877</c:v>
                </c:pt>
                <c:pt idx="1">
                  <c:v>8558</c:v>
                </c:pt>
                <c:pt idx="2">
                  <c:v>11215</c:v>
                </c:pt>
                <c:pt idx="3">
                  <c:v>7650</c:v>
                </c:pt>
                <c:pt idx="4">
                  <c:v>5112</c:v>
                </c:pt>
                <c:pt idx="5">
                  <c:v>13514</c:v>
                </c:pt>
                <c:pt idx="6">
                  <c:v>13081</c:v>
                </c:pt>
                <c:pt idx="7">
                  <c:v>8275</c:v>
                </c:pt>
                <c:pt idx="8">
                  <c:v>7147</c:v>
                </c:pt>
                <c:pt idx="9">
                  <c:v>5977</c:v>
                </c:pt>
                <c:pt idx="10">
                  <c:v>11846</c:v>
                </c:pt>
              </c:numCache>
            </c:numRef>
          </c:val>
          <c:extLst>
            <c:ext xmlns:c16="http://schemas.microsoft.com/office/drawing/2014/chart" uri="{C3380CC4-5D6E-409C-BE32-E72D297353CC}">
              <c16:uniqueId val="{00000000-D2AA-447B-BED4-57E78CD437F9}"/>
            </c:ext>
          </c:extLst>
        </c:ser>
        <c:dLbls>
          <c:dLblPos val="outEnd"/>
          <c:showLegendKey val="0"/>
          <c:showVal val="1"/>
          <c:showCatName val="0"/>
          <c:showSerName val="0"/>
          <c:showPercent val="0"/>
          <c:showBubbleSize val="0"/>
        </c:dLbls>
        <c:gapWidth val="219"/>
        <c:overlap val="-27"/>
        <c:axId val="548057887"/>
        <c:axId val="694605551"/>
      </c:barChart>
      <c:catAx>
        <c:axId val="548057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605551"/>
        <c:crosses val="autoZero"/>
        <c:auto val="1"/>
        <c:lblAlgn val="ctr"/>
        <c:lblOffset val="100"/>
        <c:noMultiLvlLbl val="0"/>
      </c:catAx>
      <c:valAx>
        <c:axId val="694605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05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79374</xdr:colOff>
      <xdr:row>5</xdr:row>
      <xdr:rowOff>176894</xdr:rowOff>
    </xdr:from>
    <xdr:to>
      <xdr:col>11</xdr:col>
      <xdr:colOff>1635125</xdr:colOff>
      <xdr:row>28</xdr:row>
      <xdr:rowOff>27214</xdr:rowOff>
    </xdr:to>
    <xdr:graphicFrame macro="">
      <xdr:nvGraphicFramePr>
        <xdr:cNvPr id="6" name="Chart 5">
          <a:extLst>
            <a:ext uri="{FF2B5EF4-FFF2-40B4-BE49-F238E27FC236}">
              <a16:creationId xmlns:a16="http://schemas.microsoft.com/office/drawing/2014/main" id="{622987EE-BBF3-37D3-556C-F925AE0934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82322</xdr:colOff>
      <xdr:row>8</xdr:row>
      <xdr:rowOff>143553</xdr:rowOff>
    </xdr:from>
    <xdr:to>
      <xdr:col>1</xdr:col>
      <xdr:colOff>1142999</xdr:colOff>
      <xdr:row>17</xdr:row>
      <xdr:rowOff>170089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1F794558-800A-54B7-ED2C-670C8F6D976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322" y="2783339"/>
              <a:ext cx="2203677" cy="16798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61911</xdr:colOff>
      <xdr:row>2</xdr:row>
      <xdr:rowOff>136069</xdr:rowOff>
    </xdr:from>
    <xdr:to>
      <xdr:col>2</xdr:col>
      <xdr:colOff>13606</xdr:colOff>
      <xdr:row>8</xdr:row>
      <xdr:rowOff>29253</xdr:rowOff>
    </xdr:to>
    <mc:AlternateContent xmlns:mc="http://schemas.openxmlformats.org/markup-compatibility/2006" xmlns:a14="http://schemas.microsoft.com/office/drawing/2010/main">
      <mc:Choice Requires="a14">
        <xdr:graphicFrame macro="">
          <xdr:nvGraphicFramePr>
            <xdr:cNvPr id="8" name="Product Category">
              <a:extLst>
                <a:ext uri="{FF2B5EF4-FFF2-40B4-BE49-F238E27FC236}">
                  <a16:creationId xmlns:a16="http://schemas.microsoft.com/office/drawing/2014/main" id="{59BE895A-0ECE-8888-100C-37328B3D813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61911" y="1299480"/>
              <a:ext cx="2237695" cy="1369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82323</xdr:colOff>
      <xdr:row>38</xdr:row>
      <xdr:rowOff>54428</xdr:rowOff>
    </xdr:from>
    <xdr:to>
      <xdr:col>2</xdr:col>
      <xdr:colOff>0</xdr:colOff>
      <xdr:row>51</xdr:row>
      <xdr:rowOff>88444</xdr:rowOff>
    </xdr:to>
    <mc:AlternateContent xmlns:mc="http://schemas.openxmlformats.org/markup-compatibility/2006" xmlns:a14="http://schemas.microsoft.com/office/drawing/2010/main">
      <mc:Choice Requires="a14">
        <xdr:graphicFrame macro="">
          <xdr:nvGraphicFramePr>
            <xdr:cNvPr id="9" name="Product Name">
              <a:extLst>
                <a:ext uri="{FF2B5EF4-FFF2-40B4-BE49-F238E27FC236}">
                  <a16:creationId xmlns:a16="http://schemas.microsoft.com/office/drawing/2014/main" id="{465F6E2B-32CB-ED0C-FCF4-0CC3271E231D}"/>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82323" y="8205107"/>
              <a:ext cx="2203677" cy="24220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78239</xdr:colOff>
      <xdr:row>5</xdr:row>
      <xdr:rowOff>156483</xdr:rowOff>
    </xdr:from>
    <xdr:to>
      <xdr:col>7</xdr:col>
      <xdr:colOff>1265463</xdr:colOff>
      <xdr:row>28</xdr:row>
      <xdr:rowOff>13607</xdr:rowOff>
    </xdr:to>
    <xdr:graphicFrame macro="">
      <xdr:nvGraphicFramePr>
        <xdr:cNvPr id="12" name="Chart 11">
          <a:extLst>
            <a:ext uri="{FF2B5EF4-FFF2-40B4-BE49-F238E27FC236}">
              <a16:creationId xmlns:a16="http://schemas.microsoft.com/office/drawing/2014/main" id="{9C775BBF-DF12-5C64-1324-8FF4686601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1722438</xdr:colOff>
      <xdr:row>28</xdr:row>
      <xdr:rowOff>77560</xdr:rowOff>
    </xdr:from>
    <xdr:to>
      <xdr:col>17</xdr:col>
      <xdr:colOff>1031876</xdr:colOff>
      <xdr:row>51</xdr:row>
      <xdr:rowOff>95251</xdr:rowOff>
    </xdr:to>
    <xdr:graphicFrame macro="">
      <xdr:nvGraphicFramePr>
        <xdr:cNvPr id="13" name="Chart 12">
          <a:extLst>
            <a:ext uri="{FF2B5EF4-FFF2-40B4-BE49-F238E27FC236}">
              <a16:creationId xmlns:a16="http://schemas.microsoft.com/office/drawing/2014/main" id="{139AECCE-FFC0-12F7-2121-BB368B758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78240</xdr:colOff>
      <xdr:row>28</xdr:row>
      <xdr:rowOff>57148</xdr:rowOff>
    </xdr:from>
    <xdr:to>
      <xdr:col>7</xdr:col>
      <xdr:colOff>1265463</xdr:colOff>
      <xdr:row>51</xdr:row>
      <xdr:rowOff>88447</xdr:rowOff>
    </xdr:to>
    <xdr:graphicFrame macro="">
      <xdr:nvGraphicFramePr>
        <xdr:cNvPr id="15" name="Chart 14">
          <a:extLst>
            <a:ext uri="{FF2B5EF4-FFF2-40B4-BE49-F238E27FC236}">
              <a16:creationId xmlns:a16="http://schemas.microsoft.com/office/drawing/2014/main" id="{29AE7433-9488-2187-EBC6-F43882A36D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1716769</xdr:colOff>
      <xdr:row>5</xdr:row>
      <xdr:rowOff>157616</xdr:rowOff>
    </xdr:from>
    <xdr:to>
      <xdr:col>17</xdr:col>
      <xdr:colOff>1047751</xdr:colOff>
      <xdr:row>27</xdr:row>
      <xdr:rowOff>171222</xdr:rowOff>
    </xdr:to>
    <xdr:graphicFrame macro="">
      <xdr:nvGraphicFramePr>
        <xdr:cNvPr id="18" name="Chart 17">
          <a:extLst>
            <a:ext uri="{FF2B5EF4-FFF2-40B4-BE49-F238E27FC236}">
              <a16:creationId xmlns:a16="http://schemas.microsoft.com/office/drawing/2014/main" id="{CCC1AD1B-6B55-4D47-AD11-10FB7F523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71437</xdr:colOff>
      <xdr:row>28</xdr:row>
      <xdr:rowOff>61230</xdr:rowOff>
    </xdr:from>
    <xdr:to>
      <xdr:col>11</xdr:col>
      <xdr:colOff>1627187</xdr:colOff>
      <xdr:row>51</xdr:row>
      <xdr:rowOff>95250</xdr:rowOff>
    </xdr:to>
    <xdr:graphicFrame macro="">
      <xdr:nvGraphicFramePr>
        <xdr:cNvPr id="19" name="Chart 18">
          <a:extLst>
            <a:ext uri="{FF2B5EF4-FFF2-40B4-BE49-F238E27FC236}">
              <a16:creationId xmlns:a16="http://schemas.microsoft.com/office/drawing/2014/main" id="{6F29A230-FE98-4B37-87F5-409DA83F8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109537</xdr:colOff>
      <xdr:row>18</xdr:row>
      <xdr:rowOff>95249</xdr:rowOff>
    </xdr:from>
    <xdr:to>
      <xdr:col>1</xdr:col>
      <xdr:colOff>1129393</xdr:colOff>
      <xdr:row>37</xdr:row>
      <xdr:rowOff>163286</xdr:rowOff>
    </xdr:to>
    <mc:AlternateContent xmlns:mc="http://schemas.openxmlformats.org/markup-compatibility/2006" xmlns:a14="http://schemas.microsoft.com/office/drawing/2010/main">
      <mc:Choice Requires="a14">
        <xdr:graphicFrame macro="">
          <xdr:nvGraphicFramePr>
            <xdr:cNvPr id="20" name="State">
              <a:extLst>
                <a:ext uri="{FF2B5EF4-FFF2-40B4-BE49-F238E27FC236}">
                  <a16:creationId xmlns:a16="http://schemas.microsoft.com/office/drawing/2014/main" id="{B3C3AB8B-7B26-4517-97E6-D4C7C1CA59D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9537" y="4571999"/>
              <a:ext cx="2162856" cy="35582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MCG_MIS_Dashboard_ol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34.759006712964" createdVersion="8" refreshedVersion="8" minRefreshableVersion="3" recordCount="1000" xr:uid="{6417483C-7C0A-4DFB-827F-8F2D5049EF0C}">
  <cacheSource type="worksheet">
    <worksheetSource name="Table1" r:id="rId2"/>
  </cacheSource>
  <cacheFields count="18">
    <cacheField name="Date" numFmtId="164">
      <sharedItems containsSemiMixedTypes="0" containsNonDate="0" containsDate="1" containsString="0" minDate="2026-01-01T00:00:00" maxDate="2026-07-01T00:00:00" count="180">
        <d v="2026-03-22T00:00:00"/>
        <d v="2026-05-06T00:00:00"/>
        <d v="2026-01-26T00:00:00"/>
        <d v="2026-04-06T00:00:00"/>
        <d v="2026-06-01T00:00:00"/>
        <d v="2026-05-04T00:00:00"/>
        <d v="2026-05-28T00:00:00"/>
        <d v="2026-05-10T00:00:00"/>
        <d v="2026-02-25T00:00:00"/>
        <d v="2026-04-19T00:00:00"/>
        <d v="2026-06-03T00:00:00"/>
        <d v="2026-02-22T00:00:00"/>
        <d v="2026-05-09T00:00:00"/>
        <d v="2026-03-26T00:00:00"/>
        <d v="2026-05-22T00:00:00"/>
        <d v="2026-01-19T00:00:00"/>
        <d v="2026-06-28T00:00:00"/>
        <d v="2026-04-23T00:00:00"/>
        <d v="2026-05-05T00:00:00"/>
        <d v="2026-04-16T00:00:00"/>
        <d v="2026-05-29T00:00:00"/>
        <d v="2026-01-11T00:00:00"/>
        <d v="2026-01-28T00:00:00"/>
        <d v="2026-05-26T00:00:00"/>
        <d v="2026-06-14T00:00:00"/>
        <d v="2026-06-27T00:00:00"/>
        <d v="2026-01-10T00:00:00"/>
        <d v="2026-03-04T00:00:00"/>
        <d v="2026-05-27T00:00:00"/>
        <d v="2026-06-20T00:00:00"/>
        <d v="2026-04-11T00:00:00"/>
        <d v="2026-01-05T00:00:00"/>
        <d v="2026-01-30T00:00:00"/>
        <d v="2026-06-06T00:00:00"/>
        <d v="2026-05-31T00:00:00"/>
        <d v="2026-03-06T00:00:00"/>
        <d v="2026-01-06T00:00:00"/>
        <d v="2026-04-30T00:00:00"/>
        <d v="2026-05-21T00:00:00"/>
        <d v="2026-02-01T00:00:00"/>
        <d v="2026-05-11T00:00:00"/>
        <d v="2026-06-18T00:00:00"/>
        <d v="2026-03-16T00:00:00"/>
        <d v="2026-05-02T00:00:00"/>
        <d v="2026-04-27T00:00:00"/>
        <d v="2026-06-16T00:00:00"/>
        <d v="2026-02-02T00:00:00"/>
        <d v="2026-03-18T00:00:00"/>
        <d v="2026-02-07T00:00:00"/>
        <d v="2026-01-08T00:00:00"/>
        <d v="2026-03-11T00:00:00"/>
        <d v="2026-03-30T00:00:00"/>
        <d v="2026-03-03T00:00:00"/>
        <d v="2026-06-19T00:00:00"/>
        <d v="2026-06-17T00:00:00"/>
        <d v="2026-02-21T00:00:00"/>
        <d v="2026-06-07T00:00:00"/>
        <d v="2026-01-15T00:00:00"/>
        <d v="2026-04-28T00:00:00"/>
        <d v="2026-03-01T00:00:00"/>
        <d v="2026-02-09T00:00:00"/>
        <d v="2026-01-27T00:00:00"/>
        <d v="2026-05-25T00:00:00"/>
        <d v="2026-05-07T00:00:00"/>
        <d v="2026-02-04T00:00:00"/>
        <d v="2026-04-24T00:00:00"/>
        <d v="2026-03-09T00:00:00"/>
        <d v="2026-04-14T00:00:00"/>
        <d v="2026-02-19T00:00:00"/>
        <d v="2026-02-20T00:00:00"/>
        <d v="2026-03-28T00:00:00"/>
        <d v="2026-01-25T00:00:00"/>
        <d v="2026-01-20T00:00:00"/>
        <d v="2026-03-20T00:00:00"/>
        <d v="2026-02-27T00:00:00"/>
        <d v="2026-02-11T00:00:00"/>
        <d v="2026-04-02T00:00:00"/>
        <d v="2026-06-29T00:00:00"/>
        <d v="2026-02-18T00:00:00"/>
        <d v="2026-03-13T00:00:00"/>
        <d v="2026-02-03T00:00:00"/>
        <d v="2026-06-13T00:00:00"/>
        <d v="2026-05-15T00:00:00"/>
        <d v="2026-01-18T00:00:00"/>
        <d v="2026-05-18T00:00:00"/>
        <d v="2026-05-30T00:00:00"/>
        <d v="2026-06-30T00:00:00"/>
        <d v="2026-03-08T00:00:00"/>
        <d v="2026-05-17T00:00:00"/>
        <d v="2026-02-10T00:00:00"/>
        <d v="2026-03-21T00:00:00"/>
        <d v="2026-01-07T00:00:00"/>
        <d v="2026-03-24T00:00:00"/>
        <d v="2026-02-16T00:00:00"/>
        <d v="2026-06-21T00:00:00"/>
        <d v="2026-04-17T00:00:00"/>
        <d v="2026-05-12T00:00:00"/>
        <d v="2026-04-01T00:00:00"/>
        <d v="2026-06-04T00:00:00"/>
        <d v="2026-01-17T00:00:00"/>
        <d v="2026-06-23T00:00:00"/>
        <d v="2026-02-24T00:00:00"/>
        <d v="2026-04-07T00:00:00"/>
        <d v="2026-04-18T00:00:00"/>
        <d v="2026-04-08T00:00:00"/>
        <d v="2026-05-24T00:00:00"/>
        <d v="2026-04-22T00:00:00"/>
        <d v="2026-02-26T00:00:00"/>
        <d v="2026-04-15T00:00:00"/>
        <d v="2026-04-25T00:00:00"/>
        <d v="2026-06-10T00:00:00"/>
        <d v="2026-06-05T00:00:00"/>
        <d v="2026-04-05T00:00:00"/>
        <d v="2026-01-03T00:00:00"/>
        <d v="2026-06-12T00:00:00"/>
        <d v="2026-01-02T00:00:00"/>
        <d v="2026-01-23T00:00:00"/>
        <d v="2026-04-10T00:00:00"/>
        <d v="2026-03-29T00:00:00"/>
        <d v="2026-03-07T00:00:00"/>
        <d v="2026-03-23T00:00:00"/>
        <d v="2026-06-25T00:00:00"/>
        <d v="2026-04-03T00:00:00"/>
        <d v="2026-02-05T00:00:00"/>
        <d v="2026-01-01T00:00:00"/>
        <d v="2026-01-16T00:00:00"/>
        <d v="2026-05-23T00:00:00"/>
        <d v="2026-04-20T00:00:00"/>
        <d v="2026-02-08T00:00:00"/>
        <d v="2026-05-14T00:00:00"/>
        <d v="2026-03-12T00:00:00"/>
        <d v="2026-01-09T00:00:00"/>
        <d v="2026-05-13T00:00:00"/>
        <d v="2026-04-04T00:00:00"/>
        <d v="2026-04-29T00:00:00"/>
        <d v="2026-02-23T00:00:00"/>
        <d v="2026-01-13T00:00:00"/>
        <d v="2026-05-20T00:00:00"/>
        <d v="2026-02-06T00:00:00"/>
        <d v="2026-06-09T00:00:00"/>
        <d v="2026-01-21T00:00:00"/>
        <d v="2026-04-13T00:00:00"/>
        <d v="2026-06-26T00:00:00"/>
        <d v="2026-05-08T00:00:00"/>
        <d v="2026-06-15T00:00:00"/>
        <d v="2026-02-13T00:00:00"/>
        <d v="2026-05-01T00:00:00"/>
        <d v="2026-06-02T00:00:00"/>
        <d v="2026-06-24T00:00:00"/>
        <d v="2026-05-03T00:00:00"/>
        <d v="2026-03-10T00:00:00"/>
        <d v="2026-01-12T00:00:00"/>
        <d v="2026-06-08T00:00:00"/>
        <d v="2026-03-15T00:00:00"/>
        <d v="2026-01-24T00:00:00"/>
        <d v="2026-01-22T00:00:00"/>
        <d v="2026-02-28T00:00:00"/>
        <d v="2026-02-12T00:00:00"/>
        <d v="2026-05-16T00:00:00"/>
        <d v="2026-04-12T00:00:00"/>
        <d v="2026-03-14T00:00:00"/>
        <d v="2026-06-11T00:00:00"/>
        <d v="2026-02-17T00:00:00"/>
        <d v="2026-04-21T00:00:00"/>
        <d v="2026-03-27T00:00:00"/>
        <d v="2026-03-02T00:00:00"/>
        <d v="2026-04-26T00:00:00"/>
        <d v="2026-03-05T00:00:00"/>
        <d v="2026-01-14T00:00:00"/>
        <d v="2026-05-19T00:00:00"/>
        <d v="2026-01-29T00:00:00"/>
        <d v="2026-03-31T00:00:00"/>
        <d v="2026-01-04T00:00:00"/>
        <d v="2026-06-22T00:00:00"/>
        <d v="2026-04-09T00:00:00"/>
        <d v="2026-02-15T00:00:00"/>
        <d v="2026-03-19T00:00:00"/>
        <d v="2026-01-31T00:00:00"/>
        <d v="2026-03-25T00:00:00"/>
        <d v="2026-02-14T00:00:00"/>
      </sharedItems>
      <fieldGroup par="17"/>
    </cacheField>
    <cacheField name="Invoice No" numFmtId="0">
      <sharedItems count="1000">
        <s v="INV00002"/>
        <s v="INV00003"/>
        <s v="INV00004"/>
        <s v="INV00005"/>
        <s v="INV00006"/>
        <s v="INV00007"/>
        <s v="INV00008"/>
        <s v="INV00009"/>
        <s v="INV00010"/>
        <s v="INV00011"/>
        <s v="INV00012"/>
        <s v="INV00013"/>
        <s v="INV00014"/>
        <s v="INV00015"/>
        <s v="INV00016"/>
        <s v="INV00017"/>
        <s v="INV00018"/>
        <s v="INV00019"/>
        <s v="INV00020"/>
        <s v="INV00021"/>
        <s v="INV00022"/>
        <s v="INV00023"/>
        <s v="INV00024"/>
        <s v="INV00025"/>
        <s v="INV00026"/>
        <s v="INV00027"/>
        <s v="INV00028"/>
        <s v="INV00029"/>
        <s v="INV00030"/>
        <s v="INV00031"/>
        <s v="INV00032"/>
        <s v="INV00033"/>
        <s v="INV00034"/>
        <s v="INV00035"/>
        <s v="INV00036"/>
        <s v="INV00037"/>
        <s v="INV00038"/>
        <s v="INV00039"/>
        <s v="INV00040"/>
        <s v="INV00041"/>
        <s v="INV00042"/>
        <s v="INV00043"/>
        <s v="INV00044"/>
        <s v="INV00045"/>
        <s v="INV00046"/>
        <s v="INV00047"/>
        <s v="INV00048"/>
        <s v="INV00049"/>
        <s v="INV00050"/>
        <s v="INV00051"/>
        <s v="INV00052"/>
        <s v="INV00053"/>
        <s v="INV00054"/>
        <s v="INV00055"/>
        <s v="INV00056"/>
        <s v="INV00057"/>
        <s v="INV00058"/>
        <s v="INV00059"/>
        <s v="INV00060"/>
        <s v="INV00061"/>
        <s v="INV00062"/>
        <s v="INV00063"/>
        <s v="INV00064"/>
        <s v="INV00065"/>
        <s v="INV00066"/>
        <s v="INV00067"/>
        <s v="INV00068"/>
        <s v="INV00069"/>
        <s v="INV00070"/>
        <s v="INV00071"/>
        <s v="INV00072"/>
        <s v="INV00073"/>
        <s v="INV00074"/>
        <s v="INV00075"/>
        <s v="INV00076"/>
        <s v="INV00077"/>
        <s v="INV00078"/>
        <s v="INV00079"/>
        <s v="INV00080"/>
        <s v="INV00081"/>
        <s v="INV00082"/>
        <s v="INV00083"/>
        <s v="INV00084"/>
        <s v="INV00085"/>
        <s v="INV00086"/>
        <s v="INV00087"/>
        <s v="INV00088"/>
        <s v="INV00089"/>
        <s v="INV00090"/>
        <s v="INV00091"/>
        <s v="INV00092"/>
        <s v="INV00093"/>
        <s v="INV00094"/>
        <s v="INV00095"/>
        <s v="INV00096"/>
        <s v="INV00097"/>
        <s v="INV00098"/>
        <s v="INV00099"/>
        <s v="INV00100"/>
        <s v="INV00101"/>
        <s v="INV00102"/>
        <s v="INV00103"/>
        <s v="INV00104"/>
        <s v="INV00105"/>
        <s v="INV00106"/>
        <s v="INV00107"/>
        <s v="INV00108"/>
        <s v="INV00109"/>
        <s v="INV00110"/>
        <s v="INV00111"/>
        <s v="INV00112"/>
        <s v="INV00113"/>
        <s v="INV00114"/>
        <s v="INV00115"/>
        <s v="INV00116"/>
        <s v="INV00117"/>
        <s v="INV00118"/>
        <s v="INV00119"/>
        <s v="INV00120"/>
        <s v="INV00121"/>
        <s v="INV00122"/>
        <s v="INV00123"/>
        <s v="INV00124"/>
        <s v="INV00125"/>
        <s v="INV00126"/>
        <s v="INV00127"/>
        <s v="INV00128"/>
        <s v="INV00129"/>
        <s v="INV00130"/>
        <s v="INV00131"/>
        <s v="INV00132"/>
        <s v="INV00133"/>
        <s v="INV00134"/>
        <s v="INV00135"/>
        <s v="INV00136"/>
        <s v="INV00137"/>
        <s v="INV00138"/>
        <s v="INV00139"/>
        <s v="INV00140"/>
        <s v="INV00141"/>
        <s v="INV00142"/>
        <s v="INV00143"/>
        <s v="INV00144"/>
        <s v="INV00145"/>
        <s v="INV00146"/>
        <s v="INV00147"/>
        <s v="INV00148"/>
        <s v="INV00149"/>
        <s v="INV00150"/>
        <s v="INV00151"/>
        <s v="INV00152"/>
        <s v="INV00153"/>
        <s v="INV00154"/>
        <s v="INV00155"/>
        <s v="INV00156"/>
        <s v="INV00157"/>
        <s v="INV00158"/>
        <s v="INV00159"/>
        <s v="INV00160"/>
        <s v="INV00161"/>
        <s v="INV00162"/>
        <s v="INV00163"/>
        <s v="INV00164"/>
        <s v="INV00165"/>
        <s v="INV00166"/>
        <s v="INV00167"/>
        <s v="INV00168"/>
        <s v="INV00169"/>
        <s v="INV00170"/>
        <s v="INV00171"/>
        <s v="INV00172"/>
        <s v="INV00173"/>
        <s v="INV00174"/>
        <s v="INV00175"/>
        <s v="INV00176"/>
        <s v="INV00177"/>
        <s v="INV00178"/>
        <s v="INV00179"/>
        <s v="INV00180"/>
        <s v="INV00181"/>
        <s v="INV00182"/>
        <s v="INV00183"/>
        <s v="INV00184"/>
        <s v="INV00185"/>
        <s v="INV00186"/>
        <s v="INV00187"/>
        <s v="INV00188"/>
        <s v="INV00189"/>
        <s v="INV00190"/>
        <s v="INV00191"/>
        <s v="INV00192"/>
        <s v="INV00193"/>
        <s v="INV00194"/>
        <s v="INV00195"/>
        <s v="INV00196"/>
        <s v="INV00197"/>
        <s v="INV00198"/>
        <s v="INV00199"/>
        <s v="INV00200"/>
        <s v="INV00201"/>
        <s v="INV00202"/>
        <s v="INV00203"/>
        <s v="INV00204"/>
        <s v="INV00205"/>
        <s v="INV00206"/>
        <s v="INV00207"/>
        <s v="INV00208"/>
        <s v="INV00209"/>
        <s v="INV00210"/>
        <s v="INV00211"/>
        <s v="INV00212"/>
        <s v="INV00213"/>
        <s v="INV00214"/>
        <s v="INV00215"/>
        <s v="INV00216"/>
        <s v="INV00217"/>
        <s v="INV00218"/>
        <s v="INV00219"/>
        <s v="INV00220"/>
        <s v="INV00221"/>
        <s v="INV00222"/>
        <s v="INV00223"/>
        <s v="INV00224"/>
        <s v="INV00225"/>
        <s v="INV00226"/>
        <s v="INV00227"/>
        <s v="INV00228"/>
        <s v="INV00229"/>
        <s v="INV00230"/>
        <s v="INV00231"/>
        <s v="INV00232"/>
        <s v="INV00233"/>
        <s v="INV00234"/>
        <s v="INV00235"/>
        <s v="INV00236"/>
        <s v="INV00237"/>
        <s v="INV00238"/>
        <s v="INV00239"/>
        <s v="INV00240"/>
        <s v="INV00241"/>
        <s v="INV00242"/>
        <s v="INV00243"/>
        <s v="INV00244"/>
        <s v="INV00245"/>
        <s v="INV00246"/>
        <s v="INV00247"/>
        <s v="INV00248"/>
        <s v="INV00249"/>
        <s v="INV00250"/>
        <s v="INV00251"/>
        <s v="INV00252"/>
        <s v="INV00253"/>
        <s v="INV00254"/>
        <s v="INV00255"/>
        <s v="INV00256"/>
        <s v="INV00257"/>
        <s v="INV00258"/>
        <s v="INV00259"/>
        <s v="INV00260"/>
        <s v="INV00261"/>
        <s v="INV00262"/>
        <s v="INV00263"/>
        <s v="INV00264"/>
        <s v="INV00265"/>
        <s v="INV00266"/>
        <s v="INV00267"/>
        <s v="INV00268"/>
        <s v="INV00269"/>
        <s v="INV00270"/>
        <s v="INV00271"/>
        <s v="INV00272"/>
        <s v="INV00273"/>
        <s v="INV00274"/>
        <s v="INV00275"/>
        <s v="INV00276"/>
        <s v="INV00277"/>
        <s v="INV00278"/>
        <s v="INV00279"/>
        <s v="INV00280"/>
        <s v="INV00281"/>
        <s v="INV00282"/>
        <s v="INV00283"/>
        <s v="INV00284"/>
        <s v="INV00285"/>
        <s v="INV00286"/>
        <s v="INV00287"/>
        <s v="INV00288"/>
        <s v="INV00289"/>
        <s v="INV00290"/>
        <s v="INV00291"/>
        <s v="INV00292"/>
        <s v="INV00293"/>
        <s v="INV00294"/>
        <s v="INV00295"/>
        <s v="INV00296"/>
        <s v="INV00297"/>
        <s v="INV00298"/>
        <s v="INV00299"/>
        <s v="INV00300"/>
        <s v="INV00301"/>
        <s v="INV00302"/>
        <s v="INV00303"/>
        <s v="INV00304"/>
        <s v="INV00305"/>
        <s v="INV00306"/>
        <s v="INV00307"/>
        <s v="INV00308"/>
        <s v="INV00309"/>
        <s v="INV00310"/>
        <s v="INV00311"/>
        <s v="INV00312"/>
        <s v="INV00313"/>
        <s v="INV00314"/>
        <s v="INV00315"/>
        <s v="INV00316"/>
        <s v="INV00317"/>
        <s v="INV00318"/>
        <s v="INV00319"/>
        <s v="INV00320"/>
        <s v="INV00321"/>
        <s v="INV00322"/>
        <s v="INV00323"/>
        <s v="INV00324"/>
        <s v="INV00325"/>
        <s v="INV00326"/>
        <s v="INV00327"/>
        <s v="INV00328"/>
        <s v="INV00329"/>
        <s v="INV00330"/>
        <s v="INV00331"/>
        <s v="INV00332"/>
        <s v="INV00333"/>
        <s v="INV00334"/>
        <s v="INV00335"/>
        <s v="INV00336"/>
        <s v="INV00337"/>
        <s v="INV00338"/>
        <s v="INV00339"/>
        <s v="INV00340"/>
        <s v="INV00341"/>
        <s v="INV00342"/>
        <s v="INV00343"/>
        <s v="INV00344"/>
        <s v="INV00345"/>
        <s v="INV00346"/>
        <s v="INV00347"/>
        <s v="INV00348"/>
        <s v="INV00349"/>
        <s v="INV00350"/>
        <s v="INV00351"/>
        <s v="INV00352"/>
        <s v="INV00353"/>
        <s v="INV00354"/>
        <s v="INV00355"/>
        <s v="INV00356"/>
        <s v="INV00357"/>
        <s v="INV00358"/>
        <s v="INV00359"/>
        <s v="INV00360"/>
        <s v="INV00361"/>
        <s v="INV00362"/>
        <s v="INV00363"/>
        <s v="INV00364"/>
        <s v="INV00365"/>
        <s v="INV00366"/>
        <s v="INV00367"/>
        <s v="INV00368"/>
        <s v="INV00369"/>
        <s v="INV00370"/>
        <s v="INV00371"/>
        <s v="INV00372"/>
        <s v="INV00373"/>
        <s v="INV00374"/>
        <s v="INV00375"/>
        <s v="INV00376"/>
        <s v="INV00377"/>
        <s v="INV00378"/>
        <s v="INV00379"/>
        <s v="INV00380"/>
        <s v="INV00381"/>
        <s v="INV00382"/>
        <s v="INV00383"/>
        <s v="INV00384"/>
        <s v="INV00385"/>
        <s v="INV00386"/>
        <s v="INV00387"/>
        <s v="INV00388"/>
        <s v="INV00389"/>
        <s v="INV00390"/>
        <s v="INV00391"/>
        <s v="INV00392"/>
        <s v="INV00393"/>
        <s v="INV00394"/>
        <s v="INV00395"/>
        <s v="INV00396"/>
        <s v="INV00397"/>
        <s v="INV00398"/>
        <s v="INV00399"/>
        <s v="INV00400"/>
        <s v="INV00401"/>
        <s v="INV00402"/>
        <s v="INV00403"/>
        <s v="INV00404"/>
        <s v="INV00405"/>
        <s v="INV00406"/>
        <s v="INV00407"/>
        <s v="INV00408"/>
        <s v="INV00409"/>
        <s v="INV00410"/>
        <s v="INV00411"/>
        <s v="INV00412"/>
        <s v="INV00413"/>
        <s v="INV00414"/>
        <s v="INV00415"/>
        <s v="INV00416"/>
        <s v="INV00417"/>
        <s v="INV00418"/>
        <s v="INV00419"/>
        <s v="INV00420"/>
        <s v="INV00421"/>
        <s v="INV00422"/>
        <s v="INV00423"/>
        <s v="INV00424"/>
        <s v="INV00425"/>
        <s v="INV00426"/>
        <s v="INV00427"/>
        <s v="INV00428"/>
        <s v="INV00429"/>
        <s v="INV00430"/>
        <s v="INV00431"/>
        <s v="INV00432"/>
        <s v="INV00433"/>
        <s v="INV00434"/>
        <s v="INV00435"/>
        <s v="INV00436"/>
        <s v="INV00437"/>
        <s v="INV00438"/>
        <s v="INV00439"/>
        <s v="INV00440"/>
        <s v="INV00441"/>
        <s v="INV00442"/>
        <s v="INV00443"/>
        <s v="INV00444"/>
        <s v="INV00445"/>
        <s v="INV00446"/>
        <s v="INV00447"/>
        <s v="INV00448"/>
        <s v="INV00449"/>
        <s v="INV00450"/>
        <s v="INV00451"/>
        <s v="INV00452"/>
        <s v="INV00453"/>
        <s v="INV00454"/>
        <s v="INV00455"/>
        <s v="INV00456"/>
        <s v="INV00457"/>
        <s v="INV00458"/>
        <s v="INV00459"/>
        <s v="INV00460"/>
        <s v="INV00461"/>
        <s v="INV00462"/>
        <s v="INV00463"/>
        <s v="INV00464"/>
        <s v="INV00465"/>
        <s v="INV00466"/>
        <s v="INV00467"/>
        <s v="INV00468"/>
        <s v="INV00469"/>
        <s v="INV00470"/>
        <s v="INV00471"/>
        <s v="INV00472"/>
        <s v="INV00473"/>
        <s v="INV00474"/>
        <s v="INV00475"/>
        <s v="INV00476"/>
        <s v="INV00477"/>
        <s v="INV00478"/>
        <s v="INV00479"/>
        <s v="INV00480"/>
        <s v="INV00481"/>
        <s v="INV00482"/>
        <s v="INV00483"/>
        <s v="INV00484"/>
        <s v="INV00485"/>
        <s v="INV00486"/>
        <s v="INV00487"/>
        <s v="INV00488"/>
        <s v="INV00489"/>
        <s v="INV00490"/>
        <s v="INV00491"/>
        <s v="INV00492"/>
        <s v="INV00493"/>
        <s v="INV00494"/>
        <s v="INV00495"/>
        <s v="INV00496"/>
        <s v="INV00497"/>
        <s v="INV00498"/>
        <s v="INV00499"/>
        <s v="INV00500"/>
        <s v="INV00501"/>
        <s v="INV00502"/>
        <s v="INV00503"/>
        <s v="INV00504"/>
        <s v="INV00505"/>
        <s v="INV00506"/>
        <s v="INV00507"/>
        <s v="INV00508"/>
        <s v="INV00509"/>
        <s v="INV00510"/>
        <s v="INV00511"/>
        <s v="INV00512"/>
        <s v="INV00513"/>
        <s v="INV00514"/>
        <s v="INV00515"/>
        <s v="INV00516"/>
        <s v="INV00517"/>
        <s v="INV00518"/>
        <s v="INV00519"/>
        <s v="INV00520"/>
        <s v="INV00521"/>
        <s v="INV00522"/>
        <s v="INV00523"/>
        <s v="INV00524"/>
        <s v="INV00525"/>
        <s v="INV00526"/>
        <s v="INV00527"/>
        <s v="INV00528"/>
        <s v="INV00529"/>
        <s v="INV00530"/>
        <s v="INV00531"/>
        <s v="INV00532"/>
        <s v="INV00533"/>
        <s v="INV00534"/>
        <s v="INV00535"/>
        <s v="INV00536"/>
        <s v="INV00537"/>
        <s v="INV00538"/>
        <s v="INV00539"/>
        <s v="INV00540"/>
        <s v="INV00541"/>
        <s v="INV00542"/>
        <s v="INV00543"/>
        <s v="INV00544"/>
        <s v="INV00545"/>
        <s v="INV00546"/>
        <s v="INV00547"/>
        <s v="INV00548"/>
        <s v="INV00549"/>
        <s v="INV00550"/>
        <s v="INV00551"/>
        <s v="INV00552"/>
        <s v="INV00553"/>
        <s v="INV00554"/>
        <s v="INV00555"/>
        <s v="INV00556"/>
        <s v="INV00557"/>
        <s v="INV00558"/>
        <s v="INV00559"/>
        <s v="INV00560"/>
        <s v="INV00561"/>
        <s v="INV00562"/>
        <s v="INV00563"/>
        <s v="INV00564"/>
        <s v="INV00565"/>
        <s v="INV00566"/>
        <s v="INV00567"/>
        <s v="INV00568"/>
        <s v="INV00569"/>
        <s v="INV00570"/>
        <s v="INV00571"/>
        <s v="INV00572"/>
        <s v="INV00573"/>
        <s v="INV00574"/>
        <s v="INV00575"/>
        <s v="INV00576"/>
        <s v="INV00577"/>
        <s v="INV00578"/>
        <s v="INV00579"/>
        <s v="INV00580"/>
        <s v="INV00581"/>
        <s v="INV00582"/>
        <s v="INV00583"/>
        <s v="INV00584"/>
        <s v="INV00585"/>
        <s v="INV00586"/>
        <s v="INV00587"/>
        <s v="INV00588"/>
        <s v="INV00589"/>
        <s v="INV00590"/>
        <s v="INV00591"/>
        <s v="INV00592"/>
        <s v="INV00593"/>
        <s v="INV00594"/>
        <s v="INV00595"/>
        <s v="INV00596"/>
        <s v="INV00597"/>
        <s v="INV00598"/>
        <s v="INV00599"/>
        <s v="INV00600"/>
        <s v="INV00601"/>
        <s v="INV00602"/>
        <s v="INV00603"/>
        <s v="INV00604"/>
        <s v="INV00605"/>
        <s v="INV00606"/>
        <s v="INV00607"/>
        <s v="INV00608"/>
        <s v="INV00609"/>
        <s v="INV00610"/>
        <s v="INV00611"/>
        <s v="INV00612"/>
        <s v="INV00613"/>
        <s v="INV00614"/>
        <s v="INV00615"/>
        <s v="INV00616"/>
        <s v="INV00617"/>
        <s v="INV00618"/>
        <s v="INV00619"/>
        <s v="INV00620"/>
        <s v="INV00621"/>
        <s v="INV00622"/>
        <s v="INV00623"/>
        <s v="INV00624"/>
        <s v="INV00625"/>
        <s v="INV00626"/>
        <s v="INV00627"/>
        <s v="INV00628"/>
        <s v="INV00629"/>
        <s v="INV00630"/>
        <s v="INV00631"/>
        <s v="INV00632"/>
        <s v="INV00633"/>
        <s v="INV00634"/>
        <s v="INV00635"/>
        <s v="INV00636"/>
        <s v="INV00637"/>
        <s v="INV00638"/>
        <s v="INV00639"/>
        <s v="INV00640"/>
        <s v="INV00641"/>
        <s v="INV00642"/>
        <s v="INV00643"/>
        <s v="INV00644"/>
        <s v="INV00645"/>
        <s v="INV00646"/>
        <s v="INV00647"/>
        <s v="INV00648"/>
        <s v="INV00649"/>
        <s v="INV00650"/>
        <s v="INV00651"/>
        <s v="INV00652"/>
        <s v="INV00653"/>
        <s v="INV00654"/>
        <s v="INV00655"/>
        <s v="INV00656"/>
        <s v="INV00657"/>
        <s v="INV00658"/>
        <s v="INV00659"/>
        <s v="INV00660"/>
        <s v="INV00661"/>
        <s v="INV00662"/>
        <s v="INV00663"/>
        <s v="INV00664"/>
        <s v="INV00665"/>
        <s v="INV00666"/>
        <s v="INV00667"/>
        <s v="INV00668"/>
        <s v="INV00669"/>
        <s v="INV00670"/>
        <s v="INV00671"/>
        <s v="INV00672"/>
        <s v="INV00673"/>
        <s v="INV00674"/>
        <s v="INV00675"/>
        <s v="INV00676"/>
        <s v="INV00677"/>
        <s v="INV00678"/>
        <s v="INV00679"/>
        <s v="INV00680"/>
        <s v="INV00681"/>
        <s v="INV00682"/>
        <s v="INV00683"/>
        <s v="INV00684"/>
        <s v="INV00685"/>
        <s v="INV00686"/>
        <s v="INV00687"/>
        <s v="INV00688"/>
        <s v="INV00689"/>
        <s v="INV00690"/>
        <s v="INV00691"/>
        <s v="INV00692"/>
        <s v="INV00693"/>
        <s v="INV00694"/>
        <s v="INV00695"/>
        <s v="INV00696"/>
        <s v="INV00697"/>
        <s v="INV00698"/>
        <s v="INV00699"/>
        <s v="INV00700"/>
        <s v="INV00701"/>
        <s v="INV00702"/>
        <s v="INV00703"/>
        <s v="INV00704"/>
        <s v="INV00705"/>
        <s v="INV00706"/>
        <s v="INV00707"/>
        <s v="INV00708"/>
        <s v="INV00709"/>
        <s v="INV00710"/>
        <s v="INV00711"/>
        <s v="INV00712"/>
        <s v="INV00713"/>
        <s v="INV00714"/>
        <s v="INV00715"/>
        <s v="INV00716"/>
        <s v="INV00717"/>
        <s v="INV00718"/>
        <s v="INV00719"/>
        <s v="INV00720"/>
        <s v="INV00721"/>
        <s v="INV00722"/>
        <s v="INV00723"/>
        <s v="INV00724"/>
        <s v="INV00725"/>
        <s v="INV00726"/>
        <s v="INV00727"/>
        <s v="INV00728"/>
        <s v="INV00729"/>
        <s v="INV00730"/>
        <s v="INV00731"/>
        <s v="INV00732"/>
        <s v="INV00733"/>
        <s v="INV00734"/>
        <s v="INV00735"/>
        <s v="INV00736"/>
        <s v="INV00737"/>
        <s v="INV00738"/>
        <s v="INV00739"/>
        <s v="INV00740"/>
        <s v="INV00741"/>
        <s v="INV00742"/>
        <s v="INV00743"/>
        <s v="INV00744"/>
        <s v="INV00745"/>
        <s v="INV00746"/>
        <s v="INV00747"/>
        <s v="INV00748"/>
        <s v="INV00749"/>
        <s v="INV00750"/>
        <s v="INV00751"/>
        <s v="INV00752"/>
        <s v="INV00753"/>
        <s v="INV00754"/>
        <s v="INV00755"/>
        <s v="INV00756"/>
        <s v="INV00757"/>
        <s v="INV00758"/>
        <s v="INV00759"/>
        <s v="INV00760"/>
        <s v="INV00761"/>
        <s v="INV00762"/>
        <s v="INV00763"/>
        <s v="INV00764"/>
        <s v="INV00765"/>
        <s v="INV00766"/>
        <s v="INV00767"/>
        <s v="INV00768"/>
        <s v="INV00769"/>
        <s v="INV00770"/>
        <s v="INV00771"/>
        <s v="INV00772"/>
        <s v="INV00773"/>
        <s v="INV00774"/>
        <s v="INV00775"/>
        <s v="INV00776"/>
        <s v="INV00777"/>
        <s v="INV00778"/>
        <s v="INV00779"/>
        <s v="INV00780"/>
        <s v="INV00781"/>
        <s v="INV00782"/>
        <s v="INV00783"/>
        <s v="INV00784"/>
        <s v="INV00785"/>
        <s v="INV00786"/>
        <s v="INV00787"/>
        <s v="INV00788"/>
        <s v="INV00789"/>
        <s v="INV00790"/>
        <s v="INV00791"/>
        <s v="INV00792"/>
        <s v="INV00793"/>
        <s v="INV00794"/>
        <s v="INV00795"/>
        <s v="INV00796"/>
        <s v="INV00797"/>
        <s v="INV00798"/>
        <s v="INV00799"/>
        <s v="INV00800"/>
        <s v="INV00801"/>
        <s v="INV00802"/>
        <s v="INV00803"/>
        <s v="INV00804"/>
        <s v="INV00805"/>
        <s v="INV00806"/>
        <s v="INV00807"/>
        <s v="INV00808"/>
        <s v="INV00809"/>
        <s v="INV00810"/>
        <s v="INV00811"/>
        <s v="INV00812"/>
        <s v="INV00813"/>
        <s v="INV00814"/>
        <s v="INV00815"/>
        <s v="INV00816"/>
        <s v="INV00817"/>
        <s v="INV00818"/>
        <s v="INV00819"/>
        <s v="INV00820"/>
        <s v="INV00821"/>
        <s v="INV00822"/>
        <s v="INV00823"/>
        <s v="INV00824"/>
        <s v="INV00825"/>
        <s v="INV00826"/>
        <s v="INV00827"/>
        <s v="INV00828"/>
        <s v="INV00829"/>
        <s v="INV00830"/>
        <s v="INV00831"/>
        <s v="INV00832"/>
        <s v="INV00833"/>
        <s v="INV00834"/>
        <s v="INV00835"/>
        <s v="INV00836"/>
        <s v="INV00837"/>
        <s v="INV00838"/>
        <s v="INV00839"/>
        <s v="INV00840"/>
        <s v="INV00841"/>
        <s v="INV00842"/>
        <s v="INV00843"/>
        <s v="INV00844"/>
        <s v="INV00845"/>
        <s v="INV00846"/>
        <s v="INV00847"/>
        <s v="INV00848"/>
        <s v="INV00849"/>
        <s v="INV00850"/>
        <s v="INV00851"/>
        <s v="INV00852"/>
        <s v="INV00853"/>
        <s v="INV00854"/>
        <s v="INV00855"/>
        <s v="INV00856"/>
        <s v="INV00857"/>
        <s v="INV00858"/>
        <s v="INV00859"/>
        <s v="INV00860"/>
        <s v="INV00861"/>
        <s v="INV00862"/>
        <s v="INV00863"/>
        <s v="INV00864"/>
        <s v="INV00865"/>
        <s v="INV00866"/>
        <s v="INV00867"/>
        <s v="INV00868"/>
        <s v="INV00869"/>
        <s v="INV00870"/>
        <s v="INV00871"/>
        <s v="INV00872"/>
        <s v="INV00873"/>
        <s v="INV00874"/>
        <s v="INV00875"/>
        <s v="INV00876"/>
        <s v="INV00877"/>
        <s v="INV00878"/>
        <s v="INV00879"/>
        <s v="INV00880"/>
        <s v="INV00881"/>
        <s v="INV00882"/>
        <s v="INV00883"/>
        <s v="INV00884"/>
        <s v="INV00885"/>
        <s v="INV00886"/>
        <s v="INV00887"/>
        <s v="INV00888"/>
        <s v="INV00889"/>
        <s v="INV00890"/>
        <s v="INV00891"/>
        <s v="INV00892"/>
        <s v="INV00893"/>
        <s v="INV00894"/>
        <s v="INV00895"/>
        <s v="INV00896"/>
        <s v="INV00897"/>
        <s v="INV00898"/>
        <s v="INV00899"/>
        <s v="INV00900"/>
        <s v="INV00901"/>
        <s v="INV00902"/>
        <s v="INV00903"/>
        <s v="INV00904"/>
        <s v="INV00905"/>
        <s v="INV00906"/>
        <s v="INV00907"/>
        <s v="INV00908"/>
        <s v="INV00909"/>
        <s v="INV00910"/>
        <s v="INV00911"/>
        <s v="INV00912"/>
        <s v="INV00913"/>
        <s v="INV00914"/>
        <s v="INV00915"/>
        <s v="INV00916"/>
        <s v="INV00917"/>
        <s v="INV00918"/>
        <s v="INV00919"/>
        <s v="INV00920"/>
        <s v="INV00921"/>
        <s v="INV00922"/>
        <s v="INV00923"/>
        <s v="INV00924"/>
        <s v="INV00925"/>
        <s v="INV00926"/>
        <s v="INV00927"/>
        <s v="INV00928"/>
        <s v="INV00929"/>
        <s v="INV00930"/>
        <s v="INV00931"/>
        <s v="INV00932"/>
        <s v="INV00933"/>
        <s v="INV00934"/>
        <s v="INV00935"/>
        <s v="INV00936"/>
        <s v="INV00937"/>
        <s v="INV00938"/>
        <s v="INV00939"/>
        <s v="INV00940"/>
        <s v="INV00941"/>
        <s v="INV00942"/>
        <s v="INV00943"/>
        <s v="INV00944"/>
        <s v="INV00945"/>
        <s v="INV00946"/>
        <s v="INV00947"/>
        <s v="INV00948"/>
        <s v="INV00949"/>
        <s v="INV00950"/>
        <s v="INV00951"/>
        <s v="INV00952"/>
        <s v="INV00953"/>
        <s v="INV00954"/>
        <s v="INV00955"/>
        <s v="INV00956"/>
        <s v="INV00957"/>
        <s v="INV00958"/>
        <s v="INV00959"/>
        <s v="INV00960"/>
        <s v="INV00961"/>
        <s v="INV00962"/>
        <s v="INV00963"/>
        <s v="INV00964"/>
        <s v="INV00965"/>
        <s v="INV00966"/>
        <s v="INV00967"/>
        <s v="INV00968"/>
        <s v="INV00969"/>
        <s v="INV00970"/>
        <s v="INV00971"/>
        <s v="INV00972"/>
        <s v="INV00973"/>
        <s v="INV00974"/>
        <s v="INV00975"/>
        <s v="INV00976"/>
        <s v="INV00977"/>
        <s v="INV00978"/>
        <s v="INV00979"/>
        <s v="INV00980"/>
        <s v="INV00981"/>
        <s v="INV00982"/>
        <s v="INV00983"/>
        <s v="INV00984"/>
        <s v="INV00985"/>
        <s v="INV00986"/>
        <s v="INV00987"/>
        <s v="INV00988"/>
        <s v="INV00989"/>
        <s v="INV00990"/>
        <s v="INV00991"/>
        <s v="INV00992"/>
        <s v="INV00993"/>
        <s v="INV00994"/>
        <s v="INV00995"/>
        <s v="INV00996"/>
        <s v="INV00997"/>
        <s v="INV00998"/>
        <s v="INV00999"/>
        <s v="INV01000"/>
        <s v="INV01001"/>
      </sharedItems>
    </cacheField>
    <cacheField name="Distributor" numFmtId="0">
      <sharedItems count="6">
        <s v="Future"/>
        <s v="Elite"/>
        <s v="Alpha"/>
        <s v="Central"/>
        <s v="Bravo"/>
        <s v="Delta"/>
      </sharedItems>
    </cacheField>
    <cacheField name="Region" numFmtId="0">
      <sharedItems count="4">
        <s v="West"/>
        <s v="East"/>
        <s v="South"/>
        <s v="North"/>
      </sharedItems>
    </cacheField>
    <cacheField name="State" numFmtId="0">
      <sharedItems count="11">
        <s v="GJ"/>
        <s v="WB"/>
        <s v="AP"/>
        <s v="OD"/>
        <s v="TN"/>
        <s v="PB"/>
        <s v="TS"/>
        <s v="MH"/>
        <s v="KA"/>
        <s v="DL"/>
        <s v="HR"/>
      </sharedItems>
    </cacheField>
    <cacheField name="Sales Executive" numFmtId="0">
      <sharedItems count="6">
        <s v="Akhil"/>
        <s v="Sneha"/>
        <s v="Priya"/>
        <s v="Kiran"/>
        <s v="Ravi"/>
        <s v="Neha"/>
      </sharedItems>
    </cacheField>
    <cacheField name="Product Category" numFmtId="0">
      <sharedItems count="3">
        <s v="Personal Care"/>
        <s v="Beverages"/>
        <s v="Snacks"/>
      </sharedItems>
    </cacheField>
    <cacheField name="Product Name" numFmtId="0">
      <sharedItems count="6">
        <s v="Soap"/>
        <s v="Coffee"/>
        <s v="Shampoo"/>
        <s v="Tea"/>
        <s v="Biscuits"/>
        <s v="Chips"/>
      </sharedItems>
    </cacheField>
    <cacheField name="Units Sold" numFmtId="0">
      <sharedItems containsSemiMixedTypes="0" containsString="0" containsNumber="1" containsInteger="1" minValue="5" maxValue="200"/>
    </cacheField>
    <cacheField name="Unit Price" numFmtId="0">
      <sharedItems containsSemiMixedTypes="0" containsString="0" containsNumber="1" containsInteger="1" minValue="30" maxValue="250"/>
    </cacheField>
    <cacheField name="Discount %" numFmtId="0">
      <sharedItems containsSemiMixedTypes="0" containsString="0" containsNumber="1" minValue="0" maxValue="0.15"/>
    </cacheField>
    <cacheField name="Gross Sales" numFmtId="0">
      <sharedItems containsSemiMixedTypes="0" containsString="0" containsNumber="1" containsInteger="1" minValue="175" maxValue="50000" count="557">
        <n v="4760"/>
        <n v="9000"/>
        <n v="23220"/>
        <n v="37000"/>
        <n v="19920"/>
        <n v="12500"/>
        <n v="4680"/>
        <n v="4860"/>
        <n v="6200"/>
        <n v="14160"/>
        <n v="1290"/>
        <n v="4095"/>
        <n v="2960"/>
        <n v="6230"/>
        <n v="4795"/>
        <n v="7000"/>
        <n v="6960"/>
        <n v="41000"/>
        <n v="27900"/>
        <n v="29000"/>
        <n v="3920"/>
        <n v="13860"/>
        <n v="44250"/>
        <n v="11520"/>
        <n v="5320"/>
        <n v="665"/>
        <n v="25560"/>
        <n v="10000"/>
        <n v="7800"/>
        <n v="6360"/>
        <n v="46750"/>
        <n v="1800"/>
        <n v="960"/>
        <n v="10800"/>
        <n v="1350"/>
        <n v="1365"/>
        <n v="35500"/>
        <n v="25740"/>
        <n v="34500"/>
        <n v="2000"/>
        <n v="5960"/>
        <n v="41750"/>
        <n v="5640"/>
        <n v="1240"/>
        <n v="1080"/>
        <n v="2100"/>
        <n v="180"/>
        <n v="1470"/>
        <n v="8820"/>
        <n v="3240"/>
        <n v="4690"/>
        <n v="20280"/>
        <n v="4520"/>
        <n v="3675"/>
        <n v="4920"/>
        <n v="34020"/>
        <n v="3250"/>
        <n v="5670"/>
        <n v="7020"/>
        <n v="4230"/>
        <n v="3320"/>
        <n v="2240"/>
        <n v="14580"/>
        <n v="2520"/>
        <n v="2800"/>
        <n v="20000"/>
        <n v="15660"/>
        <n v="6560"/>
        <n v="11750"/>
        <n v="2640"/>
        <n v="14500"/>
        <n v="1260"/>
        <n v="5550"/>
        <n v="6440"/>
        <n v="4800"/>
        <n v="3900"/>
        <n v="22500"/>
        <n v="3960"/>
        <n v="5760"/>
        <n v="2450"/>
        <n v="45500"/>
        <n v="6265"/>
        <n v="4740"/>
        <n v="11760"/>
        <n v="26460"/>
        <n v="25000"/>
        <n v="1320"/>
        <n v="35750"/>
        <n v="46000"/>
        <n v="2250"/>
        <n v="31320"/>
        <n v="4165"/>
        <n v="11160"/>
        <n v="1760"/>
        <n v="560"/>
        <n v="11340"/>
        <n v="13560"/>
        <n v="3480"/>
        <n v="31140"/>
        <n v="35640"/>
        <n v="945"/>
        <n v="16380"/>
        <n v="3000"/>
        <n v="5520"/>
        <n v="14040"/>
        <n v="2170"/>
        <n v="4445"/>
        <n v="3870"/>
        <n v="14880"/>
        <n v="8640"/>
        <n v="13500"/>
        <n v="3360"/>
        <n v="23760"/>
        <n v="4130"/>
        <n v="10080"/>
        <n v="240"/>
        <n v="4770"/>
        <n v="7920"/>
        <n v="7080"/>
        <n v="2880"/>
        <n v="320"/>
        <n v="440"/>
        <n v="2760"/>
        <n v="5775"/>
        <n v="5040"/>
        <n v="210"/>
        <n v="18240"/>
        <n v="20160"/>
        <n v="3395"/>
        <n v="1440"/>
        <n v="23880"/>
        <n v="6840"/>
        <n v="12060"/>
        <n v="5910"/>
        <n v="29250"/>
        <n v="3880"/>
        <n v="4160"/>
        <n v="4290"/>
        <n v="2695"/>
        <n v="3780"/>
        <n v="6040"/>
        <n v="42000"/>
        <n v="2750"/>
        <n v="5565"/>
        <n v="3430"/>
        <n v="39500"/>
        <n v="1820"/>
        <n v="11640"/>
        <n v="1880"/>
        <n v="19320"/>
        <n v="3200"/>
        <n v="7200"/>
        <n v="14640"/>
        <n v="21960"/>
        <n v="980"/>
        <n v="805"/>
        <n v="5010"/>
        <n v="4710"/>
        <n v="1855"/>
        <n v="5800"/>
        <n v="48250"/>
        <n v="5220"/>
        <n v="1560"/>
        <n v="1920"/>
        <n v="5250"/>
        <n v="5120"/>
        <n v="2275"/>
        <n v="6545"/>
        <n v="26250"/>
        <n v="6640"/>
        <n v="4440"/>
        <n v="5280"/>
        <n v="7440"/>
        <n v="8760"/>
        <n v="920"/>
        <n v="3120"/>
        <n v="25750"/>
        <n v="23000"/>
        <n v="15480"/>
        <n v="29520"/>
        <n v="12000"/>
        <n v="750"/>
        <n v="2340"/>
        <n v="3640"/>
        <n v="1120"/>
        <n v="600"/>
        <n v="7500"/>
        <n v="4980"/>
        <n v="8750"/>
        <n v="770"/>
        <n v="720"/>
        <n v="4720"/>
        <n v="4380"/>
        <n v="3325"/>
        <n v="1295"/>
        <n v="35250"/>
        <n v="1330"/>
        <n v="19500"/>
        <n v="23400"/>
        <n v="34750"/>
        <n v="3185"/>
        <n v="4235"/>
        <n v="1610"/>
        <n v="5000"/>
        <n v="385"/>
        <n v="4080"/>
        <n v="1140"/>
        <n v="9360"/>
        <n v="3440"/>
        <n v="27750"/>
        <n v="18000"/>
        <n v="2320"/>
        <n v="875"/>
        <n v="2030"/>
        <n v="20520"/>
        <n v="4840"/>
        <n v="4655"/>
        <n v="5490"/>
        <n v="7760"/>
        <n v="18500"/>
        <n v="17000"/>
        <n v="6760"/>
        <n v="6120"/>
        <n v="4000"/>
        <n v="6475"/>
        <n v="21250"/>
        <n v="2680"/>
        <n v="12240"/>
        <n v="19800"/>
        <n v="7400"/>
        <n v="1435"/>
        <n v="3840"/>
        <n v="5460"/>
        <n v="32940"/>
        <n v="4890"/>
        <n v="34560"/>
        <n v="5985"/>
        <n v="4270"/>
        <n v="11880"/>
        <n v="2580"/>
        <n v="29500"/>
        <n v="10620"/>
        <n v="1575"/>
        <n v="4830"/>
        <n v="34380"/>
        <n v="38750"/>
        <n v="420"/>
        <n v="16080"/>
        <n v="15250"/>
        <n v="4935"/>
        <n v="14400"/>
        <n v="19560"/>
        <n v="19980"/>
        <n v="760"/>
        <n v="4500"/>
        <n v="33480"/>
        <n v="26640"/>
        <n v="3500"/>
        <n v="43750"/>
        <n v="6930"/>
        <n v="3060"/>
        <n v="22920"/>
        <n v="30750"/>
        <n v="6825"/>
        <n v="9900"/>
        <n v="2205"/>
        <n v="4600"/>
        <n v="6880"/>
        <n v="19680"/>
        <n v="16740"/>
        <n v="17750"/>
        <n v="5915"/>
        <n v="32000"/>
        <n v="2130"/>
        <n v="15840"/>
        <n v="6370"/>
        <n v="23040"/>
        <n v="23580"/>
        <n v="28260"/>
        <n v="2905"/>
        <n v="9120"/>
        <n v="680"/>
        <n v="2400"/>
        <n v="50000"/>
        <n v="5820"/>
        <n v="175"/>
        <n v="6520"/>
        <n v="6480"/>
        <n v="34200"/>
        <n v="16560"/>
        <n v="16200"/>
        <n v="46250"/>
        <n v="900"/>
        <n v="47750"/>
        <n v="7120"/>
        <n v="3990"/>
        <n v="6720"/>
        <n v="3955"/>
        <n v="3560"/>
        <n v="13680"/>
        <n v="2040"/>
        <n v="3280"/>
        <n v="5310"/>
        <n v="19440"/>
        <n v="14760"/>
        <n v="1155"/>
        <n v="38500"/>
        <n v="5940"/>
        <n v="12420"/>
        <n v="31500"/>
        <n v="5810"/>
        <n v="2160"/>
        <n v="8520"/>
        <n v="29700"/>
        <n v="880"/>
        <n v="5500"/>
        <n v="810"/>
        <n v="24500"/>
        <n v="10260"/>
        <n v="1890"/>
        <n v="25500"/>
        <n v="13440"/>
        <n v="3810"/>
        <n v="630"/>
        <n v="30780"/>
        <n v="17880"/>
        <n v="48750"/>
        <n v="490"/>
        <n v="5840"/>
        <n v="6600"/>
        <n v="4170"/>
        <n v="3300"/>
        <n v="4560"/>
        <n v="5845"/>
        <n v="9180"/>
        <n v="4970"/>
        <n v="5495"/>
        <n v="315"/>
        <n v="11500"/>
        <n v="1020"/>
        <n v="5600"/>
        <n v="4620"/>
        <n v="455"/>
        <n v="2500"/>
        <n v="6335"/>
        <n v="5190"/>
        <n v="30240"/>
        <n v="10920"/>
        <n v="6750"/>
        <n v="23640"/>
        <n v="11000"/>
        <n v="21000"/>
        <n v="18120"/>
        <n v="1600"/>
        <n v="17040"/>
        <n v="4110"/>
        <n v="10560"/>
        <n v="1830"/>
        <n v="2360"/>
        <n v="1250"/>
        <n v="9250"/>
        <n v="2975"/>
        <n v="1680"/>
        <n v="6300"/>
        <n v="1785"/>
        <n v="9720"/>
        <n v="4880"/>
        <n v="43250"/>
        <n v="4200"/>
        <n v="28800"/>
        <n v="24660"/>
        <n v="5370"/>
        <n v="35460"/>
        <n v="12780"/>
        <n v="870"/>
        <n v="6000"/>
        <n v="4585"/>
        <n v="24300"/>
        <n v="6680"/>
        <n v="4140"/>
        <n v="1170"/>
        <n v="2345"/>
        <n v="17500"/>
        <n v="15360"/>
        <n v="6650"/>
        <n v="2920"/>
        <n v="18360"/>
        <n v="11280"/>
        <n v="16680"/>
        <n v="1530"/>
        <n v="2220"/>
        <n v="13750"/>
        <n v="5110"/>
        <n v="6920"/>
        <n v="8460"/>
        <n v="22140"/>
        <n v="245"/>
        <n v="2310"/>
        <n v="33300"/>
        <n v="3255"/>
        <n v="5160"/>
        <n v="4320"/>
        <n v="360"/>
        <n v="38000"/>
        <n v="16020"/>
        <n v="5145"/>
        <n v="2380"/>
        <n v="6685"/>
        <n v="17280"/>
        <n v="2010"/>
        <n v="12360"/>
        <n v="1200"/>
        <n v="4865"/>
        <n v="27360"/>
        <n v="19000"/>
        <n v="36250"/>
        <n v="30500"/>
        <n v="2070"/>
        <n v="1995"/>
        <n v="18960"/>
        <n v="3420"/>
        <n v="32580"/>
        <n v="6500"/>
        <n v="735"/>
        <n v="2910"/>
        <n v="10250"/>
        <n v="20400"/>
        <n v="5200"/>
        <n v="1360"/>
        <n v="3680"/>
        <n v="5700"/>
        <n v="12750"/>
        <n v="5635"/>
        <n v="5480"/>
        <n v="25200"/>
        <n v="6660"/>
        <n v="1645"/>
        <n v="7250"/>
        <n v="3720"/>
        <n v="840"/>
        <n v="1160"/>
        <n v="14250"/>
        <n v="18750"/>
        <n v="2460"/>
        <n v="35000"/>
        <n v="6800"/>
        <n v="39750"/>
        <n v="6055"/>
        <n v="2135"/>
        <n v="1085"/>
        <n v="4480"/>
        <n v="45250"/>
        <n v="3520"/>
        <n v="13140"/>
        <n v="15300"/>
        <n v="49500"/>
        <n v="2430"/>
        <n v="7160"/>
        <n v="4360"/>
        <n v="18480"/>
        <n v="16000"/>
        <n v="24250"/>
        <n v="27000"/>
        <n v="20340"/>
        <n v="9480"/>
        <n v="21480"/>
        <n v="7480"/>
        <n v="2660"/>
        <n v="18600"/>
        <n v="300"/>
        <n v="5180"/>
        <n v="6895"/>
        <n v="4515"/>
        <n v="17640"/>
        <n v="2820"/>
        <n v="2555"/>
        <n v="3510"/>
        <n v="2120"/>
        <n v="4590"/>
        <n v="640"/>
        <n v="6280"/>
        <n v="5355"/>
        <n v="3080"/>
        <n v="26100"/>
        <n v="2610"/>
        <n v="28750"/>
        <n v="4240"/>
        <n v="24480"/>
        <n v="40500"/>
        <n v="27720"/>
        <n v="34000"/>
        <n v="10500"/>
        <n v="3710"/>
        <n v="2200"/>
        <n v="47000"/>
        <n v="5750"/>
        <n v="33120"/>
        <n v="3745"/>
        <n v="18720"/>
        <n v="23940"/>
        <n v="12720"/>
        <n v="2550"/>
        <n v="1860"/>
        <n v="4350"/>
        <n v="3040"/>
        <n v="30000"/>
        <n v="3850"/>
        <n v="16250"/>
        <n v="24750"/>
        <n v="3570"/>
        <n v="9600"/>
        <n v="22680"/>
        <n v="1590"/>
        <n v="22200"/>
        <n v="14940"/>
        <n v="5430"/>
        <n v="10440"/>
        <n v="7880"/>
        <n v="33000"/>
        <n v="4250"/>
        <n v="7600"/>
        <n v="17820"/>
        <n v="8000"/>
        <n v="4650"/>
        <n v="1840"/>
        <n v="3150"/>
        <n v="5100"/>
        <n v="9540"/>
        <n v="10680"/>
        <n v="1925"/>
        <n v="7240"/>
        <n v="42500"/>
        <n v="13320"/>
        <n v="32760"/>
        <n v="7380"/>
        <n v="7740"/>
        <n v="28000"/>
        <n v="4900"/>
        <n v="6160"/>
        <n v="9750"/>
        <n v="3750"/>
        <n v="15960"/>
        <n v="2850"/>
        <n v="2940"/>
        <n v="2490"/>
        <n v="5080"/>
        <n v="9960"/>
        <n v="3330"/>
        <n v="1950"/>
        <n v="17400"/>
        <n v="7560"/>
        <n v="36000"/>
        <n v="1540"/>
        <n v="18840"/>
        <n v="28980"/>
        <n v="2280"/>
        <n v="700"/>
      </sharedItems>
    </cacheField>
    <cacheField name="Net Sales" numFmtId="0">
      <sharedItems containsSemiMixedTypes="0" containsString="0" containsNumber="1" minValue="159.25" maxValue="48510" count="939">
        <n v="4474.3999999999996"/>
        <n v="8370"/>
        <n v="19737"/>
        <n v="33300"/>
        <n v="18127.2"/>
        <n v="12375"/>
        <n v="4165.2"/>
        <n v="4276.8"/>
        <n v="5394"/>
        <n v="13876.8"/>
        <n v="1173.9000000000001"/>
        <n v="3685.5"/>
        <n v="2871.2"/>
        <n v="5669.3"/>
        <n v="4315.5"/>
        <n v="6930"/>
        <n v="6820.8"/>
        <n v="39360"/>
        <n v="27900"/>
        <n v="25810"/>
        <n v="3410.4"/>
        <n v="13305.6"/>
        <n v="42037.5"/>
        <n v="9907.2000000000007"/>
        <n v="4522"/>
        <n v="645.04999999999995"/>
        <n v="21981.599999999999"/>
        <n v="8800"/>
        <n v="7020"/>
        <n v="5469.6"/>
        <n v="40205"/>
        <n v="1692"/>
        <n v="825.6"/>
        <n v="6370"/>
        <n v="9288"/>
        <n v="1201.5"/>
        <n v="1242.1500000000001"/>
        <n v="31595"/>
        <n v="25225.200000000001"/>
        <n v="30360"/>
        <n v="1780"/>
        <n v="5542.8"/>
        <n v="39662.5"/>
        <n v="5470.8"/>
        <n v="1202.8"/>
        <n v="1015.2"/>
        <n v="1848"/>
        <n v="176.4"/>
        <n v="1381.8"/>
        <n v="8550"/>
        <n v="7761.6"/>
        <n v="3207.6"/>
        <n v="4502.3999999999996"/>
        <n v="19874.400000000001"/>
        <n v="4294"/>
        <n v="3197.25"/>
        <n v="4723.2"/>
        <n v="31638.6"/>
        <n v="2795"/>
        <n v="5499.9"/>
        <n v="6458.4"/>
        <n v="3637.8"/>
        <n v="3320"/>
        <n v="2150.4"/>
        <n v="12976.2"/>
        <n v="2419.1999999999998"/>
        <n v="2464"/>
        <n v="19400"/>
        <n v="14720.4"/>
        <n v="5904"/>
        <n v="11280"/>
        <n v="4182"/>
        <n v="2587.1999999999998"/>
        <n v="13920"/>
        <n v="1096.2"/>
        <n v="4995"/>
        <n v="5731.6"/>
        <n v="4464"/>
        <n v="3354"/>
        <n v="20475"/>
        <n v="3484.8"/>
        <n v="5644.8"/>
        <n v="2425.5"/>
        <n v="41405"/>
        <n v="5889.1"/>
        <n v="4550.3999999999996"/>
        <n v="11172"/>
        <n v="24343.200000000001"/>
        <n v="22500"/>
        <n v="1135.2"/>
        <n v="1940"/>
        <n v="35392.5"/>
        <n v="42320"/>
        <n v="2250"/>
        <n v="27248.400000000001"/>
        <n v="3623.55"/>
        <n v="10044"/>
        <n v="1584"/>
        <n v="515.20000000000005"/>
        <n v="10659.6"/>
        <n v="11526"/>
        <n v="3166.8"/>
        <n v="1188"/>
        <n v="28337.4"/>
        <n v="33858"/>
        <n v="803.25"/>
        <n v="14086.8"/>
        <n v="2730"/>
        <n v="5299.2"/>
        <n v="12355.2"/>
        <n v="1866.2"/>
        <n v="4044.95"/>
        <n v="5054"/>
        <n v="3289.5"/>
        <n v="14284.8"/>
        <n v="7430.4"/>
        <n v="11745"/>
        <n v="2856"/>
        <n v="3792.6"/>
        <n v="23047.200000000001"/>
        <n v="3758.3"/>
        <n v="9676.7999999999993"/>
        <n v="1091.2"/>
        <n v="208.8"/>
        <n v="21375"/>
        <n v="4483.8"/>
        <n v="7682.4"/>
        <n v="6867.6"/>
        <n v="2505.6"/>
        <n v="4178.3"/>
        <n v="585.20000000000005"/>
        <n v="307.2"/>
        <n v="4267.2"/>
        <n v="413.6"/>
        <n v="2346"/>
        <n v="5659.5"/>
        <n v="1782"/>
        <n v="4636.8"/>
        <n v="207.9"/>
        <n v="15504"/>
        <n v="20160"/>
        <n v="3123.4"/>
        <n v="1382.4"/>
        <n v="3375.6"/>
        <n v="7650"/>
        <n v="22447.200000000001"/>
        <n v="374"/>
        <n v="6087.6"/>
        <n v="11939.4"/>
        <n v="5496.3"/>
        <n v="26910"/>
        <n v="3492"/>
        <n v="3993.6"/>
        <n v="3818.1"/>
        <n v="2317.6999999999998"/>
        <n v="3515.4"/>
        <n v="5375.6"/>
        <n v="37800"/>
        <n v="2667.5"/>
        <n v="5509.35"/>
        <n v="3327.1"/>
        <n v="35550"/>
        <n v="1692.6"/>
        <n v="5529.6"/>
        <n v="10359.6"/>
        <n v="1710.8"/>
        <n v="17001.599999999999"/>
        <n v="3168"/>
        <n v="6912"/>
        <n v="14347.2"/>
        <n v="21520.799999999999"/>
        <n v="833"/>
        <n v="684.25"/>
        <n v="4859.7"/>
        <n v="4144.8"/>
        <n v="1799.35"/>
        <n v="5742"/>
        <n v="2660"/>
        <n v="48250"/>
        <n v="4541.3999999999996"/>
        <n v="1372.8"/>
        <n v="1881.6"/>
        <n v="5145"/>
        <n v="4608"/>
        <n v="1979.25"/>
        <n v="5628.7"/>
        <n v="4212"/>
        <n v="25200"/>
        <n v="6374.4"/>
        <n v="4687.2"/>
        <n v="3907.2"/>
        <n v="4540.8"/>
        <n v="22096.799999999999"/>
        <n v="7365.6"/>
        <n v="4838.3999999999996"/>
        <n v="20203.2"/>
        <n v="7621.2"/>
        <n v="846.4"/>
        <n v="3026.4"/>
        <n v="24720"/>
        <n v="20240"/>
        <n v="13777.2"/>
        <n v="26568"/>
        <n v="180.6"/>
        <n v="10560"/>
        <n v="697.5"/>
        <n v="1620"/>
        <n v="1989"/>
        <n v="3348.8"/>
        <n v="1086.4000000000001"/>
        <n v="600"/>
        <n v="30294"/>
        <n v="6450"/>
        <n v="4482"/>
        <n v="2744"/>
        <n v="3366.9"/>
        <n v="7612.5"/>
        <n v="708.4"/>
        <n v="691.2"/>
        <n v="4374"/>
        <n v="4672.8"/>
        <n v="25110"/>
        <n v="5010"/>
        <n v="3985.8"/>
        <n v="2604"/>
        <n v="7740"/>
        <n v="201.6"/>
        <n v="3158.75"/>
        <n v="1165.5"/>
        <n v="6160"/>
        <n v="34897.5"/>
        <n v="1157.0999999999999"/>
        <n v="30315"/>
        <n v="16965"/>
        <n v="22230"/>
        <n v="33360"/>
        <n v="2739.1"/>
        <n v="3726.8"/>
        <n v="1561.7"/>
        <n v="4650"/>
        <n v="9396"/>
        <n v="342.65"/>
        <n v="2707.2"/>
        <n v="3794.4"/>
        <n v="4179.6000000000004"/>
        <n v="1083"/>
        <n v="788.9"/>
        <n v="9172.7999999999993"/>
        <n v="3371.2"/>
        <n v="27472.5"/>
        <n v="2368.8000000000002"/>
        <n v="4187.7"/>
        <n v="15840"/>
        <n v="1972"/>
        <n v="761.25"/>
        <n v="1928.5"/>
        <n v="2484"/>
        <n v="19494"/>
        <n v="4259.2"/>
        <n v="16020"/>
        <n v="4049.85"/>
        <n v="4953.6000000000004"/>
        <n v="30705"/>
        <n v="5435.1"/>
        <n v="7061.6"/>
        <n v="16650"/>
        <n v="13593.6"/>
        <n v="16660"/>
        <n v="6422"/>
        <n v="1296.75"/>
        <n v="5875.2"/>
        <n v="3520"/>
        <n v="5633.25"/>
        <n v="17760"/>
        <n v="20400"/>
        <n v="1097.5999999999999"/>
        <n v="2653.2"/>
        <n v="3916.8"/>
        <n v="11383.2"/>
        <n v="17424"/>
        <n v="7326"/>
        <n v="1234.0999999999999"/>
        <n v="3840"/>
        <n v="230.4"/>
        <n v="4968.6000000000004"/>
        <n v="28657.8"/>
        <n v="4303.2"/>
        <n v="33523.199999999997"/>
        <n v="1161.5999999999999"/>
        <n v="1827"/>
        <n v="5326.65"/>
        <n v="6120"/>
        <n v="4099.2"/>
        <n v="5162"/>
        <n v="11642.4"/>
        <n v="1746"/>
        <n v="2528.4"/>
        <n v="6230"/>
        <n v="4850"/>
        <n v="2850"/>
        <n v="28025"/>
        <n v="334.95"/>
        <n v="9664.2000000000007"/>
        <n v="1354.5"/>
        <n v="4491.8999999999996"/>
        <n v="8010"/>
        <n v="30254.400000000001"/>
        <n v="18673.2"/>
        <n v="2476.8000000000002"/>
        <n v="36425"/>
        <n v="382.2"/>
        <n v="14150.4"/>
        <n v="13115"/>
        <n v="4786.95"/>
        <n v="12384"/>
        <n v="18386.400000000001"/>
        <n v="18981"/>
        <n v="691.6"/>
        <n v="4095"/>
        <n v="28792.799999999999"/>
        <n v="26640"/>
        <n v="3080"/>
        <n v="5023.2"/>
        <n v="41125"/>
        <n v="6375.6"/>
        <n v="2784.6"/>
        <n v="3915"/>
        <n v="22690.799999999999"/>
        <n v="564"/>
        <n v="30442.5"/>
        <n v="17940"/>
        <n v="6552"/>
        <n v="8613"/>
        <n v="4608.45"/>
        <n v="2138.85"/>
        <n v="1920"/>
        <n v="4416"/>
        <n v="6811.2"/>
        <n v="2502.5"/>
        <n v="4455"/>
        <n v="10546.2"/>
        <n v="19089.599999999999"/>
        <n v="2995.2"/>
        <n v="16405.2"/>
        <n v="4759.5"/>
        <n v="15725"/>
        <n v="16507.5"/>
        <n v="5855.85"/>
        <n v="29760"/>
        <n v="6440"/>
        <n v="4400"/>
        <n v="1959.6"/>
        <n v="1780.8"/>
        <n v="13939.2"/>
        <n v="3870"/>
        <n v="5924.1"/>
        <n v="11640"/>
        <n v="20044.8"/>
        <n v="3250.8"/>
        <n v="3405.6"/>
        <n v="21222"/>
        <n v="26847"/>
        <n v="2701.65"/>
        <n v="27403.200000000001"/>
        <n v="8846.4"/>
        <n v="625.6"/>
        <n v="2851.2"/>
        <n v="2088"/>
        <n v="44500"/>
        <n v="1887.9"/>
        <n v="5703.6"/>
        <n v="652.79999999999995"/>
        <n v="162.75"/>
        <n v="1281.5999999999999"/>
        <n v="5672.4"/>
        <n v="6285.6"/>
        <n v="31122"/>
        <n v="15566.4"/>
        <n v="14904"/>
        <n v="40237.5"/>
        <n v="864"/>
        <n v="44885"/>
        <n v="6479.2"/>
        <n v="14040"/>
        <n v="2469.6"/>
        <n v="3471.3"/>
        <n v="6652.8"/>
        <n v="3955"/>
        <n v="3097.2"/>
        <n v="12015"/>
        <n v="12859.2"/>
        <n v="1815.6"/>
        <n v="3050.4"/>
        <n v="665"/>
        <n v="16912.8"/>
        <n v="1980"/>
        <n v="14022"/>
        <n v="2580"/>
        <n v="1085.7"/>
        <n v="36190"/>
        <n v="5880.6"/>
        <n v="828"/>
        <n v="2790"/>
        <n v="1170.4000000000001"/>
        <n v="854.4"/>
        <n v="5950"/>
        <n v="6514.2"/>
        <n v="5273.1"/>
        <n v="10681.2"/>
        <n v="30555"/>
        <n v="11995.2"/>
        <n v="4743.2"/>
        <n v="5635.7"/>
        <n v="3255"/>
        <n v="1857.6"/>
        <n v="8008.8"/>
        <n v="29106"/>
        <n v="844.8"/>
        <n v="4895"/>
        <n v="11628"/>
        <n v="737.1"/>
        <n v="2610"/>
        <n v="4250.3999999999996"/>
        <n v="24255"/>
        <n v="15325.2"/>
        <n v="10800"/>
        <n v="8926.2000000000007"/>
        <n v="1625.4"/>
        <n v="23970"/>
        <n v="3810"/>
        <n v="630"/>
        <n v="28933.200000000001"/>
        <n v="16807.2"/>
        <n v="45337.5"/>
        <n v="21014.400000000001"/>
        <n v="2217.6"/>
        <n v="1728"/>
        <n v="712.8"/>
        <n v="460.6"/>
        <n v="5431.2"/>
        <n v="5909.6"/>
        <n v="6600"/>
        <n v="6472.8"/>
        <n v="526.4"/>
        <n v="4128.3"/>
        <n v="2904"/>
        <n v="618.79999999999995"/>
        <n v="4058.4"/>
        <n v="5728.1"/>
        <n v="9088.2000000000007"/>
        <n v="5987.8"/>
        <n v="5078.3999999999996"/>
        <n v="4323.8999999999996"/>
        <n v="5220.25"/>
        <n v="3477.6"/>
        <n v="277.2"/>
        <n v="10925"/>
        <n v="948.6"/>
        <n v="5040"/>
        <n v="4296.6000000000004"/>
        <n v="414.05"/>
        <n v="2350"/>
        <n v="5384.75"/>
        <n v="17100"/>
        <n v="18144"/>
        <n v="5138.1000000000004"/>
        <n v="26308.799999999999"/>
        <n v="9391.2000000000007"/>
        <n v="5508"/>
        <n v="15048"/>
        <n v="43012.5"/>
        <n v="3271.2"/>
        <n v="4395.6000000000004"/>
        <n v="4284"/>
        <n v="6682.5"/>
        <n v="21985.200000000001"/>
        <n v="4672.5"/>
        <n v="9680"/>
        <n v="1337.7"/>
        <n v="8575"/>
        <n v="1689.6"/>
        <n v="5874"/>
        <n v="3115"/>
        <n v="20790"/>
        <n v="43000"/>
        <n v="3722.4"/>
        <n v="16489.2"/>
        <n v="1408"/>
        <n v="15506.4"/>
        <n v="1306.8"/>
        <n v="3575.7"/>
        <n v="9292.7999999999993"/>
        <n v="22118.400000000001"/>
        <n v="1775.1"/>
        <n v="2336.4"/>
        <n v="3130.4"/>
        <n v="931"/>
        <n v="2700"/>
        <n v="19800"/>
        <n v="1175"/>
        <n v="9157.5"/>
        <n v="13057.2"/>
        <n v="2885.75"/>
        <n v="3842"/>
        <n v="1663.2"/>
        <n v="5607"/>
        <n v="3220.4"/>
        <n v="8179.2"/>
        <n v="1695.75"/>
        <n v="4989.6000000000004"/>
        <n v="8748"/>
        <n v="4636"/>
        <n v="39357.5"/>
        <n v="3738"/>
        <n v="24768"/>
        <n v="23920.2"/>
        <n v="4725.6000000000004"/>
        <n v="31914"/>
        <n v="3057.6"/>
        <n v="1654.4"/>
        <n v="11629.8"/>
        <n v="9603"/>
        <n v="1293.5999999999999"/>
        <n v="739.5"/>
        <n v="619.20000000000005"/>
        <n v="5460"/>
        <n v="5667.2"/>
        <n v="7128"/>
        <n v="4034.8"/>
        <n v="22599"/>
        <n v="5324.4"/>
        <n v="5811.6"/>
        <n v="7332"/>
        <n v="3726"/>
        <n v="4910.3999999999996"/>
        <n v="1146.5999999999999"/>
        <n v="2157.4"/>
        <n v="11750.4"/>
        <n v="3390.9"/>
        <n v="8264.4"/>
        <n v="17500"/>
        <n v="14131.2"/>
        <n v="6118"/>
        <n v="470.4"/>
        <n v="2803.2"/>
        <n v="1544.4"/>
        <n v="16524"/>
        <n v="10941.6"/>
        <n v="14344.8"/>
        <n v="1315.8"/>
        <n v="1880"/>
        <n v="4747.05"/>
        <n v="3790.5"/>
        <n v="2153.4"/>
        <n v="3439.8"/>
        <n v="4039.2"/>
        <n v="5385.1"/>
        <n v="12237.5"/>
        <n v="12636"/>
        <n v="4752.3"/>
        <n v="11404.8"/>
        <n v="6020.4"/>
        <n v="7952.4"/>
        <n v="20811.599999999999"/>
        <n v="5264.35"/>
        <n v="237.65"/>
        <n v="12916.8"/>
        <n v="2528.75"/>
        <n v="4280.3999999999996"/>
        <n v="2009.7"/>
        <n v="30969"/>
        <n v="5121.6000000000004"/>
        <n v="3189.9"/>
        <n v="2839.2"/>
        <n v="4644"/>
        <n v="4104"/>
        <n v="28980"/>
        <n v="24793.200000000001"/>
        <n v="331.2"/>
        <n v="38000"/>
        <n v="25716.6"/>
        <n v="14097.6"/>
        <n v="2052"/>
        <n v="4267.55"/>
        <n v="4579.05"/>
        <n v="2070.6"/>
        <n v="6150.2"/>
        <n v="28188"/>
        <n v="15206.4"/>
        <n v="1949.7"/>
        <n v="16200"/>
        <n v="25977.599999999999"/>
        <n v="11247.6"/>
        <n v="1152"/>
        <n v="918"/>
        <n v="4232.55"/>
        <n v="24350.400000000001"/>
        <n v="16340"/>
        <n v="4833"/>
        <n v="16416"/>
        <n v="21081.599999999999"/>
        <n v="33350"/>
        <n v="9900"/>
        <n v="26840"/>
        <n v="1987.2"/>
        <n v="1795.5"/>
        <n v="18580.8"/>
        <n v="3180.6"/>
        <n v="1895.25"/>
        <n v="29973.599999999999"/>
        <n v="3185"/>
        <n v="6110"/>
        <n v="720.3"/>
        <n v="2589.9"/>
        <n v="3915.45"/>
        <n v="2975"/>
        <n v="9840"/>
        <n v="19176"/>
        <n v="3225.25"/>
        <n v="19584"/>
        <n v="4992"/>
        <n v="1346.4"/>
        <n v="3459.2"/>
        <n v="2585.4499999999998"/>
        <n v="3915.1"/>
        <n v="5415"/>
        <n v="11475"/>
        <n v="4275"/>
        <n v="5522.3"/>
        <n v="4932"/>
        <n v="22176"/>
        <n v="2494.8000000000002"/>
        <n v="4365"/>
        <n v="6460.2"/>
        <n v="1562.75"/>
        <n v="1250.2"/>
        <n v="655.20000000000005"/>
        <n v="4012"/>
        <n v="16228.8"/>
        <n v="4399.2"/>
        <n v="902.4"/>
        <n v="32140.799999999999"/>
        <n v="13630"/>
        <n v="6960"/>
        <n v="3273.6"/>
        <n v="3628.8"/>
        <n v="840"/>
        <n v="2968.2"/>
        <n v="13540.8"/>
        <n v="19958.400000000001"/>
        <n v="3385.8"/>
        <n v="997.6"/>
        <n v="14250"/>
        <n v="16125"/>
        <n v="3567.2"/>
        <n v="4830"/>
        <n v="2214"/>
        <n v="8985.6"/>
        <n v="35000"/>
        <n v="4339.2"/>
        <n v="6392"/>
        <n v="3612"/>
        <n v="13167"/>
        <n v="17643.599999999999"/>
        <n v="34582.5"/>
        <n v="5328.4"/>
        <n v="2092.3000000000002"/>
        <n v="965.65"/>
        <n v="3942.4"/>
        <n v="3445.2"/>
        <n v="39820"/>
        <n v="4617.2"/>
        <n v="2328"/>
        <n v="3960"/>
        <n v="13008.6"/>
        <n v="14535"/>
        <n v="48510"/>
        <n v="2430"/>
        <n v="4240.8"/>
        <n v="6802"/>
        <n v="1806.7"/>
        <n v="3880.4"/>
        <n v="3009.6"/>
        <n v="16816.8"/>
        <n v="3059"/>
        <n v="23180.400000000001"/>
        <n v="1890"/>
        <n v="16000"/>
        <n v="21825"/>
        <n v="4496.8"/>
        <n v="24300"/>
        <n v="6157.6"/>
        <n v="2975.4"/>
        <n v="17899.2"/>
        <n v="8058"/>
        <n v="19546.8"/>
        <n v="11885.4"/>
        <n v="7286.4"/>
        <n v="12495.6"/>
        <n v="31275"/>
        <n v="6956.4"/>
        <n v="16740"/>
        <n v="10010"/>
        <n v="2776.8"/>
        <n v="7533.6"/>
        <n v="42087.5"/>
        <n v="1619.8"/>
        <n v="2553.6"/>
        <n v="2410.8000000000002"/>
        <n v="17298"/>
        <n v="291"/>
        <n v="4468.8"/>
        <n v="4921"/>
        <n v="6343.4"/>
        <n v="1811.7"/>
        <n v="907.8"/>
        <n v="3837.75"/>
        <n v="2268"/>
        <n v="17640"/>
        <n v="4569.6000000000004"/>
        <n v="16874.400000000001"/>
        <n v="2763.6"/>
        <n v="2427.25"/>
        <n v="3123.9"/>
        <n v="705.6"/>
        <n v="5978.4"/>
        <n v="5370.4"/>
        <n v="4173.6000000000004"/>
        <n v="1802"/>
        <n v="676.4"/>
        <n v="2284.1999999999998"/>
        <n v="3947.4"/>
        <n v="563.20000000000005"/>
        <n v="6028.8"/>
        <n v="3974.4"/>
        <n v="4658.8500000000004"/>
        <n v="2802.8"/>
        <n v="39790"/>
        <n v="6624.8"/>
        <n v="2358.4"/>
        <n v="24012"/>
        <n v="19286.400000000001"/>
        <n v="2322.9"/>
        <n v="2845.8"/>
        <n v="2318.4"/>
        <n v="1638"/>
        <n v="45500"/>
        <n v="28462.5"/>
        <n v="3753.6"/>
        <n v="386.4"/>
        <n v="5316.3"/>
        <n v="4240"/>
        <n v="27312.5"/>
        <n v="1214.4000000000001"/>
        <n v="5503.75"/>
        <n v="23011.200000000001"/>
        <n v="660"/>
        <n v="39690"/>
        <n v="14241.6"/>
        <n v="1004.85"/>
        <n v="3124.8"/>
        <n v="3025.75"/>
        <n v="14688"/>
        <n v="1674"/>
        <n v="24948"/>
        <n v="33660"/>
        <n v="646.79999999999995"/>
        <n v="9975"/>
        <n v="19288.8"/>
        <n v="2171.4"/>
        <n v="4873.05"/>
        <n v="7986.6"/>
        <n v="28480"/>
        <n v="14257.8"/>
        <n v="4032"/>
        <n v="3635.8"/>
        <n v="2002"/>
        <n v="961.2"/>
        <n v="6286.8"/>
        <n v="39950"/>
        <n v="3933.9"/>
        <n v="4932.8999999999996"/>
        <n v="5405"/>
        <n v="19200"/>
        <n v="20592"/>
        <n v="31795.200000000001"/>
        <n v="1814.4"/>
        <n v="3407.95"/>
        <n v="3351.6"/>
        <n v="1201.2"/>
        <n v="18720"/>
        <n v="3591"/>
        <n v="20827.8"/>
        <n v="2990.4"/>
        <n v="2556.4"/>
        <n v="6182.4"/>
        <n v="15714"/>
        <n v="996.8"/>
        <n v="1196.8"/>
        <n v="17712"/>
        <n v="11040"/>
        <n v="509.6"/>
        <n v="3810.6"/>
        <n v="12720"/>
        <n v="36260"/>
        <n v="1536"/>
        <n v="2193"/>
        <n v="1711.2"/>
        <n v="4306.5"/>
        <n v="2614.4"/>
        <n v="5400"/>
        <n v="5602.8"/>
        <n v="26700"/>
        <n v="3811.5"/>
        <n v="13812.5"/>
        <n v="676.8"/>
        <n v="17280"/>
        <n v="1527.75"/>
        <n v="23017.5"/>
        <n v="3248.7"/>
        <n v="698.25"/>
        <n v="8736"/>
        <n v="1386"/>
        <n v="21546"/>
        <n v="42817.5"/>
        <n v="1108.8"/>
        <n v="1574.1"/>
        <n v="4392.1499999999996"/>
        <n v="831.6"/>
        <n v="1210.4000000000001"/>
        <n v="13899.6"/>
        <n v="19314"/>
        <n v="2998.8"/>
        <n v="2109"/>
        <n v="1404"/>
        <n v="14580"/>
        <n v="8721"/>
        <n v="14193"/>
        <n v="29070"/>
        <n v="4778.3999999999996"/>
        <n v="12204"/>
        <n v="3715.2"/>
        <n v="3958.5"/>
        <n v="8553.6"/>
        <n v="9918"/>
        <n v="6934.4"/>
        <n v="29370"/>
        <n v="3867.5"/>
        <n v="7068"/>
        <n v="23461.200000000001"/>
        <n v="1917.6"/>
        <n v="3920.4"/>
        <n v="17820"/>
        <n v="7920"/>
        <n v="21037.5"/>
        <n v="3827.2"/>
        <n v="2138.4"/>
        <n v="3102"/>
        <n v="4236.05"/>
        <n v="1058.4000000000001"/>
        <n v="10886.4"/>
        <n v="24977.5"/>
        <n v="3782.5"/>
        <n v="4803.3999999999996"/>
        <n v="6108.8"/>
        <n v="1871.1"/>
        <n v="159.25"/>
        <n v="4231.5"/>
        <n v="1637.6"/>
        <n v="2961"/>
        <n v="4947"/>
        <n v="8299.7999999999993"/>
        <n v="9184.7999999999993"/>
        <n v="1655.5"/>
        <n v="6733.2"/>
        <n v="36125"/>
        <n v="2455.1999999999998"/>
        <n v="22579.200000000001"/>
        <n v="13186.8"/>
        <n v="31449.599999999999"/>
        <n v="5152"/>
        <n v="31968"/>
        <n v="6937.2"/>
        <n v="23529.599999999999"/>
        <n v="6579"/>
        <n v="8650.7999999999993"/>
        <n v="26600"/>
        <n v="11260.8"/>
        <n v="4655"/>
        <n v="5605.6"/>
        <n v="9067.5"/>
        <n v="6166.4"/>
        <n v="1543.5"/>
        <n v="3450"/>
        <n v="5652"/>
        <n v="3880.8"/>
        <n v="14364"/>
        <n v="18781.2"/>
        <n v="2707.5"/>
        <n v="5781.2"/>
        <n v="4485.6000000000004"/>
        <n v="8121.6"/>
        <n v="2557.8000000000002"/>
        <n v="5241.6000000000004"/>
        <n v="963.2"/>
        <n v="2499"/>
        <n v="2241"/>
        <n v="1719.9"/>
        <n v="17437.5"/>
        <n v="4368.8"/>
        <n v="23709.599999999999"/>
        <n v="3972.15"/>
        <n v="9163.2000000000007"/>
        <n v="43425"/>
        <n v="3263.4"/>
        <n v="1872"/>
        <n v="1461.6"/>
        <n v="15660"/>
        <n v="4454.3999999999996"/>
        <n v="4342.8"/>
        <n v="7408.8"/>
        <n v="10264.799999999999"/>
        <n v="31680"/>
        <n v="2447.5"/>
        <n v="4493.3"/>
        <n v="9765"/>
        <n v="2450"/>
        <n v="36540"/>
        <n v="5717.25"/>
        <n v="2546"/>
        <n v="1370.6"/>
        <n v="45347.5"/>
        <n v="16014"/>
        <n v="27820.799999999999"/>
        <n v="5566.05"/>
        <n v="654.5"/>
        <n v="42535"/>
        <n v="6364"/>
        <n v="602"/>
      </sharedItems>
    </cacheField>
    <cacheField name="Target Sales" numFmtId="0">
      <sharedItems containsSemiMixedTypes="0" containsString="0" containsNumber="1" minValue="127.58" maxValue="49746.43"/>
    </cacheField>
    <cacheField name="Achievement %" numFmtId="0">
      <sharedItems containsSemiMixedTypes="0" containsString="0" containsNumber="1" minValue="0.83" maxValue="1.25"/>
    </cacheField>
    <cacheField name="Payment Status" numFmtId="0">
      <sharedItems count="2">
        <s v="Paid"/>
        <s v="Pending"/>
      </sharedItems>
    </cacheField>
    <cacheField name="Days (Date)" numFmtId="0" databaseField="0">
      <fieldGroup base="0">
        <rangePr groupBy="days" startDate="2026-01-01T00:00:00" endDate="2026-07-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6"/>
        </groupItems>
      </fieldGroup>
    </cacheField>
    <cacheField name="Months (Date)" numFmtId="0" databaseField="0">
      <fieldGroup base="0">
        <rangePr groupBy="months" startDate="2026-01-01T00:00:00" endDate="2026-07-01T00:00:00"/>
        <groupItems count="14">
          <s v="&lt;01-01-2026"/>
          <s v="Jan"/>
          <s v="Feb"/>
          <s v="Mar"/>
          <s v="Apr"/>
          <s v="May"/>
          <s v="Jun"/>
          <s v="Jul"/>
          <s v="Aug"/>
          <s v="Sep"/>
          <s v="Oct"/>
          <s v="Nov"/>
          <s v="Dec"/>
          <s v="&gt;01-07-2026"/>
        </groupItems>
      </fieldGroup>
    </cacheField>
  </cacheFields>
  <extLst>
    <ext xmlns:x14="http://schemas.microsoft.com/office/spreadsheetml/2009/9/main" uri="{725AE2AE-9491-48be-B2B4-4EB974FC3084}">
      <x14:pivotCacheDefinition pivotCacheId="5598379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n v="136"/>
    <n v="35"/>
    <n v="0.06"/>
    <x v="0"/>
    <x v="0"/>
    <n v="3897.22"/>
    <n v="1.1499999999999999"/>
    <x v="0"/>
  </r>
  <r>
    <x v="1"/>
    <x v="1"/>
    <x v="1"/>
    <x v="1"/>
    <x v="1"/>
    <x v="1"/>
    <x v="1"/>
    <x v="1"/>
    <n v="36"/>
    <n v="250"/>
    <n v="7.0000000000000007E-2"/>
    <x v="1"/>
    <x v="1"/>
    <n v="8297.73"/>
    <n v="1.01"/>
    <x v="0"/>
  </r>
  <r>
    <x v="2"/>
    <x v="2"/>
    <x v="2"/>
    <x v="2"/>
    <x v="2"/>
    <x v="2"/>
    <x v="0"/>
    <x v="2"/>
    <n v="129"/>
    <n v="180"/>
    <n v="0.15"/>
    <x v="2"/>
    <x v="2"/>
    <n v="23580.880000000001"/>
    <n v="0.84"/>
    <x v="0"/>
  </r>
  <r>
    <x v="3"/>
    <x v="3"/>
    <x v="1"/>
    <x v="1"/>
    <x v="3"/>
    <x v="2"/>
    <x v="1"/>
    <x v="1"/>
    <n v="148"/>
    <n v="250"/>
    <n v="0.1"/>
    <x v="3"/>
    <x v="3"/>
    <n v="39038.339999999997"/>
    <n v="0.85"/>
    <x v="0"/>
  </r>
  <r>
    <x v="4"/>
    <x v="4"/>
    <x v="3"/>
    <x v="2"/>
    <x v="4"/>
    <x v="2"/>
    <x v="1"/>
    <x v="3"/>
    <n v="166"/>
    <n v="120"/>
    <n v="0.09"/>
    <x v="4"/>
    <x v="4"/>
    <n v="17587.900000000001"/>
    <n v="1.03"/>
    <x v="0"/>
  </r>
  <r>
    <x v="5"/>
    <x v="5"/>
    <x v="4"/>
    <x v="3"/>
    <x v="5"/>
    <x v="1"/>
    <x v="1"/>
    <x v="1"/>
    <n v="50"/>
    <n v="250"/>
    <n v="0.01"/>
    <x v="5"/>
    <x v="5"/>
    <n v="12993.25"/>
    <n v="0.95"/>
    <x v="0"/>
  </r>
  <r>
    <x v="6"/>
    <x v="6"/>
    <x v="2"/>
    <x v="2"/>
    <x v="6"/>
    <x v="3"/>
    <x v="2"/>
    <x v="4"/>
    <n v="156"/>
    <n v="30"/>
    <n v="0.11"/>
    <x v="6"/>
    <x v="6"/>
    <n v="4633.2700000000004"/>
    <n v="0.9"/>
    <x v="0"/>
  </r>
  <r>
    <x v="7"/>
    <x v="7"/>
    <x v="0"/>
    <x v="2"/>
    <x v="4"/>
    <x v="1"/>
    <x v="0"/>
    <x v="2"/>
    <n v="27"/>
    <n v="180"/>
    <n v="0.12"/>
    <x v="7"/>
    <x v="7"/>
    <n v="3498.66"/>
    <n v="1.22"/>
    <x v="1"/>
  </r>
  <r>
    <x v="8"/>
    <x v="8"/>
    <x v="5"/>
    <x v="3"/>
    <x v="5"/>
    <x v="1"/>
    <x v="2"/>
    <x v="5"/>
    <n v="155"/>
    <n v="40"/>
    <n v="0.13"/>
    <x v="8"/>
    <x v="8"/>
    <n v="4343.41"/>
    <n v="1.24"/>
    <x v="1"/>
  </r>
  <r>
    <x v="9"/>
    <x v="9"/>
    <x v="5"/>
    <x v="1"/>
    <x v="1"/>
    <x v="1"/>
    <x v="1"/>
    <x v="3"/>
    <n v="118"/>
    <n v="120"/>
    <n v="0.02"/>
    <x v="9"/>
    <x v="9"/>
    <n v="15542.42"/>
    <n v="0.89"/>
    <x v="0"/>
  </r>
  <r>
    <x v="10"/>
    <x v="10"/>
    <x v="1"/>
    <x v="0"/>
    <x v="0"/>
    <x v="4"/>
    <x v="2"/>
    <x v="4"/>
    <n v="43"/>
    <n v="30"/>
    <n v="0.09"/>
    <x v="10"/>
    <x v="10"/>
    <n v="1113.18"/>
    <n v="1.05"/>
    <x v="1"/>
  </r>
  <r>
    <x v="11"/>
    <x v="11"/>
    <x v="0"/>
    <x v="0"/>
    <x v="7"/>
    <x v="2"/>
    <x v="0"/>
    <x v="0"/>
    <n v="117"/>
    <n v="35"/>
    <n v="0.1"/>
    <x v="11"/>
    <x v="11"/>
    <n v="3270.38"/>
    <n v="1.1299999999999999"/>
    <x v="1"/>
  </r>
  <r>
    <x v="12"/>
    <x v="12"/>
    <x v="3"/>
    <x v="2"/>
    <x v="8"/>
    <x v="2"/>
    <x v="2"/>
    <x v="5"/>
    <n v="74"/>
    <n v="40"/>
    <n v="0.03"/>
    <x v="12"/>
    <x v="12"/>
    <n v="2487.48"/>
    <n v="1.1499999999999999"/>
    <x v="0"/>
  </r>
  <r>
    <x v="13"/>
    <x v="13"/>
    <x v="1"/>
    <x v="3"/>
    <x v="5"/>
    <x v="1"/>
    <x v="0"/>
    <x v="0"/>
    <n v="178"/>
    <n v="35"/>
    <n v="0.09"/>
    <x v="13"/>
    <x v="13"/>
    <n v="5550.65"/>
    <n v="1.02"/>
    <x v="0"/>
  </r>
  <r>
    <x v="14"/>
    <x v="14"/>
    <x v="5"/>
    <x v="0"/>
    <x v="0"/>
    <x v="2"/>
    <x v="0"/>
    <x v="0"/>
    <n v="137"/>
    <n v="35"/>
    <n v="0.1"/>
    <x v="14"/>
    <x v="14"/>
    <n v="3929.8"/>
    <n v="1.1000000000000001"/>
    <x v="0"/>
  </r>
  <r>
    <x v="15"/>
    <x v="15"/>
    <x v="3"/>
    <x v="0"/>
    <x v="7"/>
    <x v="1"/>
    <x v="0"/>
    <x v="0"/>
    <n v="200"/>
    <n v="35"/>
    <n v="0.01"/>
    <x v="15"/>
    <x v="15"/>
    <n v="7737.33"/>
    <n v="0.9"/>
    <x v="0"/>
  </r>
  <r>
    <x v="16"/>
    <x v="16"/>
    <x v="1"/>
    <x v="2"/>
    <x v="8"/>
    <x v="1"/>
    <x v="1"/>
    <x v="3"/>
    <n v="58"/>
    <n v="120"/>
    <n v="0.02"/>
    <x v="16"/>
    <x v="16"/>
    <n v="5632.01"/>
    <n v="1.21"/>
    <x v="0"/>
  </r>
  <r>
    <x v="17"/>
    <x v="17"/>
    <x v="1"/>
    <x v="0"/>
    <x v="7"/>
    <x v="0"/>
    <x v="1"/>
    <x v="1"/>
    <n v="164"/>
    <n v="250"/>
    <n v="0.04"/>
    <x v="17"/>
    <x v="17"/>
    <n v="38140.21"/>
    <n v="1.03"/>
    <x v="0"/>
  </r>
  <r>
    <x v="18"/>
    <x v="18"/>
    <x v="2"/>
    <x v="1"/>
    <x v="3"/>
    <x v="2"/>
    <x v="0"/>
    <x v="2"/>
    <n v="155"/>
    <n v="180"/>
    <n v="0"/>
    <x v="18"/>
    <x v="18"/>
    <n v="31197"/>
    <n v="0.89"/>
    <x v="0"/>
  </r>
  <r>
    <x v="4"/>
    <x v="19"/>
    <x v="0"/>
    <x v="0"/>
    <x v="7"/>
    <x v="3"/>
    <x v="1"/>
    <x v="1"/>
    <n v="116"/>
    <n v="250"/>
    <n v="0.11"/>
    <x v="19"/>
    <x v="19"/>
    <n v="21989.5"/>
    <n v="1.17"/>
    <x v="0"/>
  </r>
  <r>
    <x v="19"/>
    <x v="20"/>
    <x v="0"/>
    <x v="0"/>
    <x v="0"/>
    <x v="2"/>
    <x v="2"/>
    <x v="5"/>
    <n v="98"/>
    <n v="40"/>
    <n v="0.13"/>
    <x v="20"/>
    <x v="20"/>
    <n v="3909.63"/>
    <n v="0.87"/>
    <x v="0"/>
  </r>
  <r>
    <x v="20"/>
    <x v="21"/>
    <x v="2"/>
    <x v="2"/>
    <x v="4"/>
    <x v="0"/>
    <x v="0"/>
    <x v="2"/>
    <n v="77"/>
    <n v="180"/>
    <n v="0.04"/>
    <x v="21"/>
    <x v="21"/>
    <n v="14102.43"/>
    <n v="0.94"/>
    <x v="0"/>
  </r>
  <r>
    <x v="21"/>
    <x v="22"/>
    <x v="2"/>
    <x v="3"/>
    <x v="5"/>
    <x v="2"/>
    <x v="1"/>
    <x v="1"/>
    <n v="177"/>
    <n v="250"/>
    <n v="0.05"/>
    <x v="22"/>
    <x v="22"/>
    <n v="47082.400000000001"/>
    <n v="0.89"/>
    <x v="0"/>
  </r>
  <r>
    <x v="22"/>
    <x v="23"/>
    <x v="0"/>
    <x v="0"/>
    <x v="0"/>
    <x v="3"/>
    <x v="0"/>
    <x v="2"/>
    <n v="64"/>
    <n v="180"/>
    <n v="0.14000000000000001"/>
    <x v="23"/>
    <x v="23"/>
    <n v="8395.64"/>
    <n v="1.18"/>
    <x v="1"/>
  </r>
  <r>
    <x v="7"/>
    <x v="24"/>
    <x v="1"/>
    <x v="1"/>
    <x v="3"/>
    <x v="5"/>
    <x v="2"/>
    <x v="5"/>
    <n v="133"/>
    <n v="40"/>
    <n v="0.15"/>
    <x v="24"/>
    <x v="24"/>
    <n v="4768.88"/>
    <n v="0.95"/>
    <x v="1"/>
  </r>
  <r>
    <x v="23"/>
    <x v="25"/>
    <x v="2"/>
    <x v="1"/>
    <x v="1"/>
    <x v="5"/>
    <x v="0"/>
    <x v="0"/>
    <n v="19"/>
    <n v="35"/>
    <n v="0.03"/>
    <x v="25"/>
    <x v="25"/>
    <n v="752.21"/>
    <n v="0.86"/>
    <x v="1"/>
  </r>
  <r>
    <x v="24"/>
    <x v="26"/>
    <x v="1"/>
    <x v="3"/>
    <x v="9"/>
    <x v="0"/>
    <x v="0"/>
    <x v="2"/>
    <n v="142"/>
    <n v="180"/>
    <n v="0.14000000000000001"/>
    <x v="26"/>
    <x v="26"/>
    <n v="23899.09"/>
    <n v="0.92"/>
    <x v="0"/>
  </r>
  <r>
    <x v="25"/>
    <x v="27"/>
    <x v="4"/>
    <x v="2"/>
    <x v="8"/>
    <x v="2"/>
    <x v="0"/>
    <x v="0"/>
    <n v="136"/>
    <n v="35"/>
    <n v="0.05"/>
    <x v="0"/>
    <x v="24"/>
    <n v="5302.05"/>
    <n v="0.85"/>
    <x v="0"/>
  </r>
  <r>
    <x v="26"/>
    <x v="28"/>
    <x v="3"/>
    <x v="0"/>
    <x v="0"/>
    <x v="1"/>
    <x v="1"/>
    <x v="1"/>
    <n v="40"/>
    <n v="250"/>
    <n v="0.12"/>
    <x v="27"/>
    <x v="27"/>
    <n v="8236.6299999999992"/>
    <n v="1.07"/>
    <x v="1"/>
  </r>
  <r>
    <x v="27"/>
    <x v="29"/>
    <x v="4"/>
    <x v="2"/>
    <x v="8"/>
    <x v="4"/>
    <x v="2"/>
    <x v="5"/>
    <n v="195"/>
    <n v="40"/>
    <n v="0.1"/>
    <x v="28"/>
    <x v="28"/>
    <n v="6997.28"/>
    <n v="1"/>
    <x v="1"/>
  </r>
  <r>
    <x v="28"/>
    <x v="30"/>
    <x v="0"/>
    <x v="1"/>
    <x v="3"/>
    <x v="2"/>
    <x v="2"/>
    <x v="5"/>
    <n v="159"/>
    <n v="40"/>
    <n v="0.14000000000000001"/>
    <x v="29"/>
    <x v="29"/>
    <n v="6288.15"/>
    <n v="0.87"/>
    <x v="0"/>
  </r>
  <r>
    <x v="29"/>
    <x v="31"/>
    <x v="1"/>
    <x v="3"/>
    <x v="10"/>
    <x v="1"/>
    <x v="1"/>
    <x v="1"/>
    <n v="187"/>
    <n v="250"/>
    <n v="0.14000000000000001"/>
    <x v="30"/>
    <x v="30"/>
    <n v="42693.13"/>
    <n v="0.94"/>
    <x v="0"/>
  </r>
  <r>
    <x v="14"/>
    <x v="32"/>
    <x v="0"/>
    <x v="0"/>
    <x v="0"/>
    <x v="4"/>
    <x v="0"/>
    <x v="2"/>
    <n v="10"/>
    <n v="180"/>
    <n v="0.06"/>
    <x v="31"/>
    <x v="31"/>
    <n v="1591.73"/>
    <n v="1.06"/>
    <x v="1"/>
  </r>
  <r>
    <x v="30"/>
    <x v="33"/>
    <x v="4"/>
    <x v="0"/>
    <x v="7"/>
    <x v="1"/>
    <x v="1"/>
    <x v="3"/>
    <n v="8"/>
    <n v="120"/>
    <n v="0.14000000000000001"/>
    <x v="32"/>
    <x v="32"/>
    <n v="961.06"/>
    <n v="0.86"/>
    <x v="0"/>
  </r>
  <r>
    <x v="31"/>
    <x v="34"/>
    <x v="5"/>
    <x v="3"/>
    <x v="10"/>
    <x v="1"/>
    <x v="2"/>
    <x v="5"/>
    <n v="175"/>
    <n v="40"/>
    <n v="0.09"/>
    <x v="15"/>
    <x v="33"/>
    <n v="7142.8"/>
    <n v="0.89"/>
    <x v="0"/>
  </r>
  <r>
    <x v="32"/>
    <x v="35"/>
    <x v="5"/>
    <x v="1"/>
    <x v="3"/>
    <x v="4"/>
    <x v="1"/>
    <x v="3"/>
    <n v="90"/>
    <n v="120"/>
    <n v="0.14000000000000001"/>
    <x v="33"/>
    <x v="34"/>
    <n v="7507.46"/>
    <n v="1.24"/>
    <x v="1"/>
  </r>
  <r>
    <x v="33"/>
    <x v="36"/>
    <x v="0"/>
    <x v="2"/>
    <x v="2"/>
    <x v="5"/>
    <x v="2"/>
    <x v="4"/>
    <n v="45"/>
    <n v="30"/>
    <n v="0.11"/>
    <x v="34"/>
    <x v="35"/>
    <n v="1180.23"/>
    <n v="1.02"/>
    <x v="0"/>
  </r>
  <r>
    <x v="34"/>
    <x v="37"/>
    <x v="1"/>
    <x v="2"/>
    <x v="8"/>
    <x v="1"/>
    <x v="0"/>
    <x v="0"/>
    <n v="39"/>
    <n v="35"/>
    <n v="0.09"/>
    <x v="35"/>
    <x v="36"/>
    <n v="1209.4000000000001"/>
    <n v="1.03"/>
    <x v="0"/>
  </r>
  <r>
    <x v="35"/>
    <x v="38"/>
    <x v="0"/>
    <x v="3"/>
    <x v="10"/>
    <x v="1"/>
    <x v="1"/>
    <x v="1"/>
    <n v="142"/>
    <n v="250"/>
    <n v="0.11"/>
    <x v="36"/>
    <x v="37"/>
    <n v="37356.51"/>
    <n v="0.85"/>
    <x v="0"/>
  </r>
  <r>
    <x v="21"/>
    <x v="39"/>
    <x v="3"/>
    <x v="1"/>
    <x v="1"/>
    <x v="2"/>
    <x v="0"/>
    <x v="2"/>
    <n v="143"/>
    <n v="180"/>
    <n v="0.02"/>
    <x v="37"/>
    <x v="38"/>
    <n v="26022.89"/>
    <n v="0.97"/>
    <x v="1"/>
  </r>
  <r>
    <x v="36"/>
    <x v="40"/>
    <x v="5"/>
    <x v="1"/>
    <x v="3"/>
    <x v="2"/>
    <x v="1"/>
    <x v="1"/>
    <n v="138"/>
    <n v="250"/>
    <n v="0.12"/>
    <x v="38"/>
    <x v="39"/>
    <n v="30471.15"/>
    <n v="1"/>
    <x v="1"/>
  </r>
  <r>
    <x v="35"/>
    <x v="41"/>
    <x v="1"/>
    <x v="1"/>
    <x v="3"/>
    <x v="3"/>
    <x v="1"/>
    <x v="1"/>
    <n v="8"/>
    <n v="250"/>
    <n v="0.11"/>
    <x v="39"/>
    <x v="40"/>
    <n v="1835.32"/>
    <n v="0.97"/>
    <x v="0"/>
  </r>
  <r>
    <x v="37"/>
    <x v="42"/>
    <x v="5"/>
    <x v="1"/>
    <x v="1"/>
    <x v="5"/>
    <x v="2"/>
    <x v="5"/>
    <n v="149"/>
    <n v="40"/>
    <n v="7.0000000000000007E-2"/>
    <x v="40"/>
    <x v="41"/>
    <n v="5161.6499999999996"/>
    <n v="1.07"/>
    <x v="1"/>
  </r>
  <r>
    <x v="38"/>
    <x v="43"/>
    <x v="0"/>
    <x v="1"/>
    <x v="3"/>
    <x v="4"/>
    <x v="1"/>
    <x v="1"/>
    <n v="167"/>
    <n v="250"/>
    <n v="0.05"/>
    <x v="41"/>
    <x v="42"/>
    <n v="32400.89"/>
    <n v="1.22"/>
    <x v="1"/>
  </r>
  <r>
    <x v="31"/>
    <x v="44"/>
    <x v="2"/>
    <x v="2"/>
    <x v="4"/>
    <x v="4"/>
    <x v="2"/>
    <x v="5"/>
    <n v="141"/>
    <n v="40"/>
    <n v="0.03"/>
    <x v="42"/>
    <x v="43"/>
    <n v="5596.35"/>
    <n v="0.98"/>
    <x v="0"/>
  </r>
  <r>
    <x v="39"/>
    <x v="45"/>
    <x v="5"/>
    <x v="1"/>
    <x v="3"/>
    <x v="5"/>
    <x v="2"/>
    <x v="5"/>
    <n v="31"/>
    <n v="40"/>
    <n v="0.03"/>
    <x v="43"/>
    <x v="44"/>
    <n v="985.12"/>
    <n v="1.22"/>
    <x v="0"/>
  </r>
  <r>
    <x v="19"/>
    <x v="46"/>
    <x v="0"/>
    <x v="3"/>
    <x v="5"/>
    <x v="1"/>
    <x v="2"/>
    <x v="5"/>
    <n v="27"/>
    <n v="40"/>
    <n v="0.06"/>
    <x v="44"/>
    <x v="45"/>
    <n v="1078.8399999999999"/>
    <n v="0.94"/>
    <x v="1"/>
  </r>
  <r>
    <x v="0"/>
    <x v="47"/>
    <x v="1"/>
    <x v="1"/>
    <x v="3"/>
    <x v="2"/>
    <x v="2"/>
    <x v="4"/>
    <n v="70"/>
    <n v="30"/>
    <n v="0.12"/>
    <x v="45"/>
    <x v="46"/>
    <n v="2167.8000000000002"/>
    <n v="0.85"/>
    <x v="1"/>
  </r>
  <r>
    <x v="40"/>
    <x v="48"/>
    <x v="0"/>
    <x v="1"/>
    <x v="3"/>
    <x v="5"/>
    <x v="2"/>
    <x v="4"/>
    <n v="6"/>
    <n v="30"/>
    <n v="0.02"/>
    <x v="46"/>
    <x v="47"/>
    <n v="173.03"/>
    <n v="1.02"/>
    <x v="1"/>
  </r>
  <r>
    <x v="41"/>
    <x v="49"/>
    <x v="0"/>
    <x v="3"/>
    <x v="10"/>
    <x v="3"/>
    <x v="0"/>
    <x v="0"/>
    <n v="42"/>
    <n v="35"/>
    <n v="0.06"/>
    <x v="47"/>
    <x v="48"/>
    <n v="1534.37"/>
    <n v="0.9"/>
    <x v="0"/>
  </r>
  <r>
    <x v="42"/>
    <x v="50"/>
    <x v="0"/>
    <x v="2"/>
    <x v="4"/>
    <x v="4"/>
    <x v="1"/>
    <x v="1"/>
    <n v="36"/>
    <n v="250"/>
    <n v="0.05"/>
    <x v="1"/>
    <x v="49"/>
    <n v="6890.4"/>
    <n v="1.24"/>
    <x v="1"/>
  </r>
  <r>
    <x v="7"/>
    <x v="51"/>
    <x v="5"/>
    <x v="2"/>
    <x v="4"/>
    <x v="0"/>
    <x v="0"/>
    <x v="2"/>
    <n v="49"/>
    <n v="180"/>
    <n v="0.12"/>
    <x v="48"/>
    <x v="50"/>
    <n v="8124.95"/>
    <n v="0.96"/>
    <x v="0"/>
  </r>
  <r>
    <x v="43"/>
    <x v="52"/>
    <x v="2"/>
    <x v="2"/>
    <x v="8"/>
    <x v="2"/>
    <x v="2"/>
    <x v="5"/>
    <n v="81"/>
    <n v="40"/>
    <n v="0.01"/>
    <x v="49"/>
    <x v="51"/>
    <n v="2730.11"/>
    <n v="1.17"/>
    <x v="1"/>
  </r>
  <r>
    <x v="44"/>
    <x v="53"/>
    <x v="5"/>
    <x v="0"/>
    <x v="7"/>
    <x v="5"/>
    <x v="0"/>
    <x v="0"/>
    <n v="134"/>
    <n v="35"/>
    <n v="0.04"/>
    <x v="50"/>
    <x v="52"/>
    <n v="4357.7700000000004"/>
    <n v="1.03"/>
    <x v="0"/>
  </r>
  <r>
    <x v="45"/>
    <x v="54"/>
    <x v="1"/>
    <x v="2"/>
    <x v="6"/>
    <x v="1"/>
    <x v="1"/>
    <x v="3"/>
    <n v="169"/>
    <n v="120"/>
    <n v="0.02"/>
    <x v="51"/>
    <x v="53"/>
    <n v="16676.580000000002"/>
    <n v="1.19"/>
    <x v="1"/>
  </r>
  <r>
    <x v="46"/>
    <x v="55"/>
    <x v="4"/>
    <x v="0"/>
    <x v="7"/>
    <x v="2"/>
    <x v="2"/>
    <x v="5"/>
    <n v="113"/>
    <n v="40"/>
    <n v="0.05"/>
    <x v="52"/>
    <x v="54"/>
    <n v="3637.76"/>
    <n v="1.18"/>
    <x v="0"/>
  </r>
  <r>
    <x v="47"/>
    <x v="56"/>
    <x v="2"/>
    <x v="0"/>
    <x v="7"/>
    <x v="0"/>
    <x v="0"/>
    <x v="0"/>
    <n v="105"/>
    <n v="35"/>
    <n v="0.13"/>
    <x v="53"/>
    <x v="55"/>
    <n v="3775.81"/>
    <n v="0.85"/>
    <x v="1"/>
  </r>
  <r>
    <x v="48"/>
    <x v="57"/>
    <x v="0"/>
    <x v="1"/>
    <x v="3"/>
    <x v="4"/>
    <x v="2"/>
    <x v="4"/>
    <n v="164"/>
    <n v="30"/>
    <n v="0.04"/>
    <x v="54"/>
    <x v="56"/>
    <n v="4562.76"/>
    <n v="1.04"/>
    <x v="1"/>
  </r>
  <r>
    <x v="49"/>
    <x v="58"/>
    <x v="2"/>
    <x v="1"/>
    <x v="3"/>
    <x v="1"/>
    <x v="0"/>
    <x v="2"/>
    <n v="189"/>
    <n v="180"/>
    <n v="7.0000000000000007E-2"/>
    <x v="55"/>
    <x v="57"/>
    <n v="32664.78"/>
    <n v="0.97"/>
    <x v="0"/>
  </r>
  <r>
    <x v="50"/>
    <x v="59"/>
    <x v="0"/>
    <x v="3"/>
    <x v="10"/>
    <x v="1"/>
    <x v="1"/>
    <x v="1"/>
    <n v="13"/>
    <n v="250"/>
    <n v="0.14000000000000001"/>
    <x v="56"/>
    <x v="58"/>
    <n v="2547.87"/>
    <n v="1.1000000000000001"/>
    <x v="1"/>
  </r>
  <r>
    <x v="40"/>
    <x v="60"/>
    <x v="1"/>
    <x v="2"/>
    <x v="6"/>
    <x v="3"/>
    <x v="2"/>
    <x v="4"/>
    <n v="189"/>
    <n v="30"/>
    <n v="0.03"/>
    <x v="57"/>
    <x v="59"/>
    <n v="5665.99"/>
    <n v="0.97"/>
    <x v="1"/>
  </r>
  <r>
    <x v="44"/>
    <x v="61"/>
    <x v="3"/>
    <x v="1"/>
    <x v="3"/>
    <x v="4"/>
    <x v="0"/>
    <x v="2"/>
    <n v="39"/>
    <n v="180"/>
    <n v="0.08"/>
    <x v="58"/>
    <x v="60"/>
    <n v="6442.56"/>
    <n v="1"/>
    <x v="0"/>
  </r>
  <r>
    <x v="51"/>
    <x v="62"/>
    <x v="5"/>
    <x v="0"/>
    <x v="7"/>
    <x v="1"/>
    <x v="2"/>
    <x v="4"/>
    <n v="141"/>
    <n v="30"/>
    <n v="0.14000000000000001"/>
    <x v="59"/>
    <x v="61"/>
    <n v="3856.69"/>
    <n v="0.94"/>
    <x v="1"/>
  </r>
  <r>
    <x v="52"/>
    <x v="63"/>
    <x v="4"/>
    <x v="1"/>
    <x v="3"/>
    <x v="1"/>
    <x v="2"/>
    <x v="5"/>
    <n v="83"/>
    <n v="40"/>
    <n v="0"/>
    <x v="60"/>
    <x v="62"/>
    <n v="3586.3"/>
    <n v="0.93"/>
    <x v="0"/>
  </r>
  <r>
    <x v="53"/>
    <x v="64"/>
    <x v="5"/>
    <x v="1"/>
    <x v="3"/>
    <x v="2"/>
    <x v="2"/>
    <x v="5"/>
    <n v="56"/>
    <n v="40"/>
    <n v="0.04"/>
    <x v="61"/>
    <x v="63"/>
    <n v="2203.34"/>
    <n v="0.98"/>
    <x v="0"/>
  </r>
  <r>
    <x v="54"/>
    <x v="65"/>
    <x v="0"/>
    <x v="0"/>
    <x v="7"/>
    <x v="3"/>
    <x v="0"/>
    <x v="2"/>
    <n v="81"/>
    <n v="180"/>
    <n v="0.11"/>
    <x v="62"/>
    <x v="64"/>
    <n v="14724.82"/>
    <n v="0.88"/>
    <x v="0"/>
  </r>
  <r>
    <x v="18"/>
    <x v="66"/>
    <x v="3"/>
    <x v="2"/>
    <x v="4"/>
    <x v="1"/>
    <x v="0"/>
    <x v="2"/>
    <n v="14"/>
    <n v="180"/>
    <n v="0.04"/>
    <x v="63"/>
    <x v="65"/>
    <n v="2889.8"/>
    <n v="0.84"/>
    <x v="0"/>
  </r>
  <r>
    <x v="55"/>
    <x v="67"/>
    <x v="4"/>
    <x v="1"/>
    <x v="1"/>
    <x v="0"/>
    <x v="2"/>
    <x v="5"/>
    <n v="70"/>
    <n v="40"/>
    <n v="0.12"/>
    <x v="64"/>
    <x v="66"/>
    <n v="2061.5"/>
    <n v="1.2"/>
    <x v="1"/>
  </r>
  <r>
    <x v="53"/>
    <x v="68"/>
    <x v="1"/>
    <x v="1"/>
    <x v="3"/>
    <x v="0"/>
    <x v="1"/>
    <x v="1"/>
    <n v="80"/>
    <n v="250"/>
    <n v="0.03"/>
    <x v="65"/>
    <x v="67"/>
    <n v="20189.009999999998"/>
    <n v="0.96"/>
    <x v="0"/>
  </r>
  <r>
    <x v="56"/>
    <x v="69"/>
    <x v="1"/>
    <x v="0"/>
    <x v="7"/>
    <x v="4"/>
    <x v="0"/>
    <x v="2"/>
    <n v="87"/>
    <n v="180"/>
    <n v="0.06"/>
    <x v="66"/>
    <x v="68"/>
    <n v="14090.03"/>
    <n v="1.04"/>
    <x v="0"/>
  </r>
  <r>
    <x v="57"/>
    <x v="70"/>
    <x v="5"/>
    <x v="2"/>
    <x v="4"/>
    <x v="3"/>
    <x v="2"/>
    <x v="5"/>
    <n v="164"/>
    <n v="40"/>
    <n v="0.1"/>
    <x v="67"/>
    <x v="69"/>
    <n v="7064.94"/>
    <n v="0.84"/>
    <x v="0"/>
  </r>
  <r>
    <x v="9"/>
    <x v="71"/>
    <x v="4"/>
    <x v="2"/>
    <x v="6"/>
    <x v="0"/>
    <x v="1"/>
    <x v="1"/>
    <n v="47"/>
    <n v="250"/>
    <n v="0.04"/>
    <x v="68"/>
    <x v="70"/>
    <n v="11075.71"/>
    <n v="1.02"/>
    <x v="1"/>
  </r>
  <r>
    <x v="5"/>
    <x v="72"/>
    <x v="4"/>
    <x v="3"/>
    <x v="10"/>
    <x v="0"/>
    <x v="2"/>
    <x v="5"/>
    <n v="123"/>
    <n v="40"/>
    <n v="0.15"/>
    <x v="54"/>
    <x v="71"/>
    <n v="4119.75"/>
    <n v="1.02"/>
    <x v="1"/>
  </r>
  <r>
    <x v="58"/>
    <x v="73"/>
    <x v="0"/>
    <x v="1"/>
    <x v="3"/>
    <x v="5"/>
    <x v="2"/>
    <x v="4"/>
    <n v="88"/>
    <n v="30"/>
    <n v="0.02"/>
    <x v="69"/>
    <x v="72"/>
    <n v="2286.4499999999998"/>
    <n v="1.1299999999999999"/>
    <x v="0"/>
  </r>
  <r>
    <x v="46"/>
    <x v="74"/>
    <x v="4"/>
    <x v="0"/>
    <x v="0"/>
    <x v="1"/>
    <x v="1"/>
    <x v="1"/>
    <n v="58"/>
    <n v="250"/>
    <n v="0.04"/>
    <x v="70"/>
    <x v="73"/>
    <n v="15149.24"/>
    <n v="0.92"/>
    <x v="0"/>
  </r>
  <r>
    <x v="59"/>
    <x v="75"/>
    <x v="1"/>
    <x v="1"/>
    <x v="3"/>
    <x v="5"/>
    <x v="0"/>
    <x v="0"/>
    <n v="36"/>
    <n v="35"/>
    <n v="0.13"/>
    <x v="71"/>
    <x v="74"/>
    <n v="1018.23"/>
    <n v="1.08"/>
    <x v="0"/>
  </r>
  <r>
    <x v="60"/>
    <x v="76"/>
    <x v="2"/>
    <x v="2"/>
    <x v="6"/>
    <x v="0"/>
    <x v="2"/>
    <x v="4"/>
    <n v="185"/>
    <n v="30"/>
    <n v="0.1"/>
    <x v="72"/>
    <x v="75"/>
    <n v="4274.5600000000004"/>
    <n v="1.17"/>
    <x v="1"/>
  </r>
  <r>
    <x v="61"/>
    <x v="77"/>
    <x v="5"/>
    <x v="0"/>
    <x v="7"/>
    <x v="1"/>
    <x v="0"/>
    <x v="0"/>
    <n v="184"/>
    <n v="35"/>
    <n v="0.11"/>
    <x v="73"/>
    <x v="76"/>
    <n v="6268.99"/>
    <n v="0.91"/>
    <x v="0"/>
  </r>
  <r>
    <x v="62"/>
    <x v="78"/>
    <x v="5"/>
    <x v="2"/>
    <x v="4"/>
    <x v="0"/>
    <x v="2"/>
    <x v="4"/>
    <n v="160"/>
    <n v="30"/>
    <n v="7.0000000000000007E-2"/>
    <x v="74"/>
    <x v="77"/>
    <n v="3873.71"/>
    <n v="1.1499999999999999"/>
    <x v="1"/>
  </r>
  <r>
    <x v="41"/>
    <x v="79"/>
    <x v="0"/>
    <x v="2"/>
    <x v="4"/>
    <x v="0"/>
    <x v="2"/>
    <x v="4"/>
    <n v="130"/>
    <n v="30"/>
    <n v="0.14000000000000001"/>
    <x v="75"/>
    <x v="78"/>
    <n v="3164.88"/>
    <n v="1.06"/>
    <x v="1"/>
  </r>
  <r>
    <x v="29"/>
    <x v="80"/>
    <x v="5"/>
    <x v="0"/>
    <x v="7"/>
    <x v="1"/>
    <x v="0"/>
    <x v="2"/>
    <n v="125"/>
    <n v="180"/>
    <n v="0.09"/>
    <x v="76"/>
    <x v="79"/>
    <n v="19298.77"/>
    <n v="1.06"/>
    <x v="0"/>
  </r>
  <r>
    <x v="29"/>
    <x v="81"/>
    <x v="1"/>
    <x v="1"/>
    <x v="3"/>
    <x v="5"/>
    <x v="2"/>
    <x v="4"/>
    <n v="132"/>
    <n v="30"/>
    <n v="0.12"/>
    <x v="77"/>
    <x v="80"/>
    <n v="2861.26"/>
    <n v="1.22"/>
    <x v="0"/>
  </r>
  <r>
    <x v="63"/>
    <x v="82"/>
    <x v="0"/>
    <x v="0"/>
    <x v="0"/>
    <x v="1"/>
    <x v="1"/>
    <x v="3"/>
    <n v="48"/>
    <n v="120"/>
    <n v="0.02"/>
    <x v="78"/>
    <x v="81"/>
    <n v="5058.92"/>
    <n v="1.1200000000000001"/>
    <x v="0"/>
  </r>
  <r>
    <x v="44"/>
    <x v="83"/>
    <x v="2"/>
    <x v="0"/>
    <x v="0"/>
    <x v="1"/>
    <x v="0"/>
    <x v="0"/>
    <n v="70"/>
    <n v="35"/>
    <n v="0.01"/>
    <x v="79"/>
    <x v="82"/>
    <n v="2091.73"/>
    <n v="1.1599999999999999"/>
    <x v="0"/>
  </r>
  <r>
    <x v="9"/>
    <x v="84"/>
    <x v="1"/>
    <x v="0"/>
    <x v="7"/>
    <x v="1"/>
    <x v="1"/>
    <x v="1"/>
    <n v="182"/>
    <n v="250"/>
    <n v="0.09"/>
    <x v="80"/>
    <x v="83"/>
    <n v="48020.09"/>
    <n v="0.86"/>
    <x v="0"/>
  </r>
  <r>
    <x v="50"/>
    <x v="85"/>
    <x v="2"/>
    <x v="0"/>
    <x v="0"/>
    <x v="4"/>
    <x v="0"/>
    <x v="0"/>
    <n v="179"/>
    <n v="35"/>
    <n v="0.06"/>
    <x v="81"/>
    <x v="84"/>
    <n v="6481.19"/>
    <n v="0.91"/>
    <x v="0"/>
  </r>
  <r>
    <x v="64"/>
    <x v="86"/>
    <x v="0"/>
    <x v="3"/>
    <x v="9"/>
    <x v="3"/>
    <x v="2"/>
    <x v="4"/>
    <n v="158"/>
    <n v="30"/>
    <n v="0.04"/>
    <x v="82"/>
    <x v="85"/>
    <n v="4731.59"/>
    <n v="0.96"/>
    <x v="1"/>
  </r>
  <r>
    <x v="65"/>
    <x v="87"/>
    <x v="4"/>
    <x v="3"/>
    <x v="9"/>
    <x v="4"/>
    <x v="1"/>
    <x v="3"/>
    <n v="98"/>
    <n v="120"/>
    <n v="0.05"/>
    <x v="83"/>
    <x v="86"/>
    <n v="11229.6"/>
    <n v="0.99"/>
    <x v="0"/>
  </r>
  <r>
    <x v="66"/>
    <x v="88"/>
    <x v="0"/>
    <x v="1"/>
    <x v="3"/>
    <x v="4"/>
    <x v="0"/>
    <x v="2"/>
    <n v="147"/>
    <n v="180"/>
    <n v="0.08"/>
    <x v="84"/>
    <x v="87"/>
    <n v="24985.42"/>
    <n v="0.97"/>
    <x v="1"/>
  </r>
  <r>
    <x v="23"/>
    <x v="89"/>
    <x v="1"/>
    <x v="3"/>
    <x v="9"/>
    <x v="0"/>
    <x v="1"/>
    <x v="1"/>
    <n v="100"/>
    <n v="250"/>
    <n v="0.1"/>
    <x v="85"/>
    <x v="88"/>
    <n v="22185.64"/>
    <n v="1.01"/>
    <x v="1"/>
  </r>
  <r>
    <x v="67"/>
    <x v="90"/>
    <x v="4"/>
    <x v="1"/>
    <x v="1"/>
    <x v="4"/>
    <x v="2"/>
    <x v="4"/>
    <n v="44"/>
    <n v="30"/>
    <n v="0.14000000000000001"/>
    <x v="86"/>
    <x v="89"/>
    <n v="1017.92"/>
    <n v="1.1200000000000001"/>
    <x v="1"/>
  </r>
  <r>
    <x v="68"/>
    <x v="91"/>
    <x v="4"/>
    <x v="3"/>
    <x v="5"/>
    <x v="1"/>
    <x v="1"/>
    <x v="1"/>
    <n v="8"/>
    <n v="250"/>
    <n v="0.03"/>
    <x v="39"/>
    <x v="90"/>
    <n v="2105.9299999999998"/>
    <n v="0.92"/>
    <x v="1"/>
  </r>
  <r>
    <x v="61"/>
    <x v="92"/>
    <x v="5"/>
    <x v="2"/>
    <x v="4"/>
    <x v="4"/>
    <x v="1"/>
    <x v="1"/>
    <n v="143"/>
    <n v="250"/>
    <n v="0.01"/>
    <x v="87"/>
    <x v="91"/>
    <n v="35618.35"/>
    <n v="0.99"/>
    <x v="1"/>
  </r>
  <r>
    <x v="69"/>
    <x v="93"/>
    <x v="3"/>
    <x v="2"/>
    <x v="4"/>
    <x v="4"/>
    <x v="1"/>
    <x v="1"/>
    <n v="184"/>
    <n v="250"/>
    <n v="0.08"/>
    <x v="88"/>
    <x v="92"/>
    <n v="36612.28"/>
    <n v="1.1599999999999999"/>
    <x v="1"/>
  </r>
  <r>
    <x v="54"/>
    <x v="94"/>
    <x v="5"/>
    <x v="0"/>
    <x v="7"/>
    <x v="1"/>
    <x v="2"/>
    <x v="4"/>
    <n v="75"/>
    <n v="30"/>
    <n v="0"/>
    <x v="89"/>
    <x v="93"/>
    <n v="2004.56"/>
    <n v="1.1200000000000001"/>
    <x v="0"/>
  </r>
  <r>
    <x v="70"/>
    <x v="95"/>
    <x v="3"/>
    <x v="2"/>
    <x v="2"/>
    <x v="3"/>
    <x v="0"/>
    <x v="2"/>
    <n v="174"/>
    <n v="180"/>
    <n v="0.13"/>
    <x v="90"/>
    <x v="94"/>
    <n v="32350.39"/>
    <n v="0.84"/>
    <x v="1"/>
  </r>
  <r>
    <x v="1"/>
    <x v="96"/>
    <x v="4"/>
    <x v="1"/>
    <x v="1"/>
    <x v="5"/>
    <x v="0"/>
    <x v="0"/>
    <n v="119"/>
    <n v="35"/>
    <n v="0.13"/>
    <x v="91"/>
    <x v="95"/>
    <n v="2935.44"/>
    <n v="1.23"/>
    <x v="0"/>
  </r>
  <r>
    <x v="71"/>
    <x v="97"/>
    <x v="2"/>
    <x v="2"/>
    <x v="2"/>
    <x v="4"/>
    <x v="0"/>
    <x v="2"/>
    <n v="62"/>
    <n v="180"/>
    <n v="0.1"/>
    <x v="92"/>
    <x v="96"/>
    <n v="8650.2900000000009"/>
    <n v="1.1599999999999999"/>
    <x v="1"/>
  </r>
  <r>
    <x v="72"/>
    <x v="98"/>
    <x v="3"/>
    <x v="0"/>
    <x v="7"/>
    <x v="0"/>
    <x v="2"/>
    <x v="5"/>
    <n v="44"/>
    <n v="40"/>
    <n v="0.1"/>
    <x v="93"/>
    <x v="97"/>
    <n v="1298.94"/>
    <n v="1.22"/>
    <x v="1"/>
  </r>
  <r>
    <x v="6"/>
    <x v="99"/>
    <x v="0"/>
    <x v="2"/>
    <x v="4"/>
    <x v="5"/>
    <x v="0"/>
    <x v="0"/>
    <n v="16"/>
    <n v="35"/>
    <n v="0.08"/>
    <x v="94"/>
    <x v="98"/>
    <n v="544.46"/>
    <n v="0.95"/>
    <x v="1"/>
  </r>
  <r>
    <x v="73"/>
    <x v="100"/>
    <x v="4"/>
    <x v="3"/>
    <x v="10"/>
    <x v="4"/>
    <x v="0"/>
    <x v="2"/>
    <n v="63"/>
    <n v="180"/>
    <n v="0.06"/>
    <x v="95"/>
    <x v="99"/>
    <n v="9251.9699999999993"/>
    <n v="1.1499999999999999"/>
    <x v="0"/>
  </r>
  <r>
    <x v="74"/>
    <x v="101"/>
    <x v="4"/>
    <x v="2"/>
    <x v="6"/>
    <x v="1"/>
    <x v="1"/>
    <x v="3"/>
    <n v="113"/>
    <n v="120"/>
    <n v="0.15"/>
    <x v="96"/>
    <x v="100"/>
    <n v="13805.75"/>
    <n v="0.83"/>
    <x v="1"/>
  </r>
  <r>
    <x v="75"/>
    <x v="102"/>
    <x v="1"/>
    <x v="1"/>
    <x v="3"/>
    <x v="0"/>
    <x v="2"/>
    <x v="4"/>
    <n v="116"/>
    <n v="30"/>
    <n v="0.09"/>
    <x v="97"/>
    <x v="101"/>
    <n v="3480.71"/>
    <n v="0.91"/>
    <x v="0"/>
  </r>
  <r>
    <x v="76"/>
    <x v="103"/>
    <x v="1"/>
    <x v="0"/>
    <x v="7"/>
    <x v="5"/>
    <x v="2"/>
    <x v="5"/>
    <n v="33"/>
    <n v="40"/>
    <n v="0.1"/>
    <x v="86"/>
    <x v="102"/>
    <n v="1017.32"/>
    <n v="1.17"/>
    <x v="0"/>
  </r>
  <r>
    <x v="59"/>
    <x v="104"/>
    <x v="3"/>
    <x v="0"/>
    <x v="7"/>
    <x v="0"/>
    <x v="0"/>
    <x v="2"/>
    <n v="173"/>
    <n v="180"/>
    <n v="0.09"/>
    <x v="98"/>
    <x v="103"/>
    <n v="22794.07"/>
    <n v="1.24"/>
    <x v="0"/>
  </r>
  <r>
    <x v="62"/>
    <x v="105"/>
    <x v="5"/>
    <x v="1"/>
    <x v="1"/>
    <x v="3"/>
    <x v="0"/>
    <x v="2"/>
    <n v="198"/>
    <n v="180"/>
    <n v="0.05"/>
    <x v="99"/>
    <x v="104"/>
    <n v="34505.86"/>
    <n v="0.98"/>
    <x v="0"/>
  </r>
  <r>
    <x v="77"/>
    <x v="106"/>
    <x v="5"/>
    <x v="1"/>
    <x v="1"/>
    <x v="3"/>
    <x v="0"/>
    <x v="0"/>
    <n v="27"/>
    <n v="35"/>
    <n v="0.15"/>
    <x v="100"/>
    <x v="105"/>
    <n v="898.08"/>
    <n v="0.89"/>
    <x v="0"/>
  </r>
  <r>
    <x v="10"/>
    <x v="107"/>
    <x v="4"/>
    <x v="0"/>
    <x v="7"/>
    <x v="4"/>
    <x v="0"/>
    <x v="2"/>
    <n v="91"/>
    <n v="180"/>
    <n v="0.14000000000000001"/>
    <x v="101"/>
    <x v="106"/>
    <n v="16706.669999999998"/>
    <n v="0.84"/>
    <x v="1"/>
  </r>
  <r>
    <x v="78"/>
    <x v="108"/>
    <x v="3"/>
    <x v="0"/>
    <x v="7"/>
    <x v="4"/>
    <x v="2"/>
    <x v="4"/>
    <n v="100"/>
    <n v="30"/>
    <n v="0.09"/>
    <x v="102"/>
    <x v="107"/>
    <n v="2311.37"/>
    <n v="1.18"/>
    <x v="1"/>
  </r>
  <r>
    <x v="79"/>
    <x v="109"/>
    <x v="1"/>
    <x v="3"/>
    <x v="9"/>
    <x v="5"/>
    <x v="2"/>
    <x v="4"/>
    <n v="184"/>
    <n v="30"/>
    <n v="0.04"/>
    <x v="103"/>
    <x v="108"/>
    <n v="6271.89"/>
    <n v="0.84"/>
    <x v="1"/>
  </r>
  <r>
    <x v="80"/>
    <x v="110"/>
    <x v="5"/>
    <x v="3"/>
    <x v="5"/>
    <x v="5"/>
    <x v="0"/>
    <x v="2"/>
    <n v="78"/>
    <n v="180"/>
    <n v="0.12"/>
    <x v="104"/>
    <x v="109"/>
    <n v="12900.52"/>
    <n v="0.96"/>
    <x v="0"/>
  </r>
  <r>
    <x v="10"/>
    <x v="111"/>
    <x v="1"/>
    <x v="3"/>
    <x v="5"/>
    <x v="3"/>
    <x v="0"/>
    <x v="0"/>
    <n v="62"/>
    <n v="35"/>
    <n v="0.14000000000000001"/>
    <x v="105"/>
    <x v="110"/>
    <n v="1929.46"/>
    <n v="0.97"/>
    <x v="0"/>
  </r>
  <r>
    <x v="53"/>
    <x v="112"/>
    <x v="4"/>
    <x v="3"/>
    <x v="5"/>
    <x v="4"/>
    <x v="0"/>
    <x v="0"/>
    <n v="127"/>
    <n v="35"/>
    <n v="0.09"/>
    <x v="106"/>
    <x v="111"/>
    <n v="4170.83"/>
    <n v="0.97"/>
    <x v="0"/>
  </r>
  <r>
    <x v="81"/>
    <x v="113"/>
    <x v="2"/>
    <x v="0"/>
    <x v="7"/>
    <x v="4"/>
    <x v="2"/>
    <x v="5"/>
    <n v="133"/>
    <n v="40"/>
    <n v="0.05"/>
    <x v="24"/>
    <x v="112"/>
    <n v="4380.66"/>
    <n v="1.1499999999999999"/>
    <x v="0"/>
  </r>
  <r>
    <x v="82"/>
    <x v="114"/>
    <x v="3"/>
    <x v="3"/>
    <x v="9"/>
    <x v="2"/>
    <x v="2"/>
    <x v="4"/>
    <n v="129"/>
    <n v="30"/>
    <n v="0.15"/>
    <x v="107"/>
    <x v="113"/>
    <n v="3227.73"/>
    <n v="1.02"/>
    <x v="1"/>
  </r>
  <r>
    <x v="47"/>
    <x v="115"/>
    <x v="5"/>
    <x v="0"/>
    <x v="0"/>
    <x v="4"/>
    <x v="1"/>
    <x v="3"/>
    <n v="124"/>
    <n v="120"/>
    <n v="0.04"/>
    <x v="108"/>
    <x v="114"/>
    <n v="14655"/>
    <n v="0.97"/>
    <x v="1"/>
  </r>
  <r>
    <x v="25"/>
    <x v="116"/>
    <x v="0"/>
    <x v="1"/>
    <x v="3"/>
    <x v="0"/>
    <x v="0"/>
    <x v="2"/>
    <n v="48"/>
    <n v="180"/>
    <n v="0.14000000000000001"/>
    <x v="109"/>
    <x v="115"/>
    <n v="6422.23"/>
    <n v="1.1599999999999999"/>
    <x v="1"/>
  </r>
  <r>
    <x v="13"/>
    <x v="117"/>
    <x v="2"/>
    <x v="0"/>
    <x v="7"/>
    <x v="2"/>
    <x v="0"/>
    <x v="2"/>
    <n v="75"/>
    <n v="180"/>
    <n v="0.13"/>
    <x v="110"/>
    <x v="116"/>
    <n v="10079.02"/>
    <n v="1.17"/>
    <x v="0"/>
  </r>
  <r>
    <x v="16"/>
    <x v="118"/>
    <x v="0"/>
    <x v="3"/>
    <x v="9"/>
    <x v="5"/>
    <x v="2"/>
    <x v="5"/>
    <n v="84"/>
    <n v="40"/>
    <n v="0.15"/>
    <x v="111"/>
    <x v="117"/>
    <n v="3265.19"/>
    <n v="0.87"/>
    <x v="1"/>
  </r>
  <r>
    <x v="36"/>
    <x v="119"/>
    <x v="5"/>
    <x v="1"/>
    <x v="1"/>
    <x v="2"/>
    <x v="2"/>
    <x v="4"/>
    <n v="129"/>
    <n v="30"/>
    <n v="0.02"/>
    <x v="107"/>
    <x v="118"/>
    <n v="3222.56"/>
    <n v="1.18"/>
    <x v="0"/>
  </r>
  <r>
    <x v="73"/>
    <x v="120"/>
    <x v="0"/>
    <x v="2"/>
    <x v="4"/>
    <x v="4"/>
    <x v="1"/>
    <x v="3"/>
    <n v="198"/>
    <n v="120"/>
    <n v="0.03"/>
    <x v="112"/>
    <x v="119"/>
    <n v="23631.61"/>
    <n v="0.98"/>
    <x v="0"/>
  </r>
  <r>
    <x v="83"/>
    <x v="121"/>
    <x v="3"/>
    <x v="0"/>
    <x v="0"/>
    <x v="3"/>
    <x v="0"/>
    <x v="0"/>
    <n v="118"/>
    <n v="35"/>
    <n v="0.09"/>
    <x v="113"/>
    <x v="120"/>
    <n v="4277.72"/>
    <n v="0.88"/>
    <x v="1"/>
  </r>
  <r>
    <x v="84"/>
    <x v="122"/>
    <x v="1"/>
    <x v="0"/>
    <x v="0"/>
    <x v="0"/>
    <x v="1"/>
    <x v="3"/>
    <n v="84"/>
    <n v="120"/>
    <n v="0.04"/>
    <x v="114"/>
    <x v="121"/>
    <n v="11550.34"/>
    <n v="0.84"/>
    <x v="0"/>
  </r>
  <r>
    <x v="85"/>
    <x v="123"/>
    <x v="0"/>
    <x v="2"/>
    <x v="8"/>
    <x v="2"/>
    <x v="2"/>
    <x v="5"/>
    <n v="31"/>
    <n v="40"/>
    <n v="0.12"/>
    <x v="43"/>
    <x v="122"/>
    <n v="1146.75"/>
    <n v="0.95"/>
    <x v="1"/>
  </r>
  <r>
    <x v="15"/>
    <x v="124"/>
    <x v="5"/>
    <x v="3"/>
    <x v="9"/>
    <x v="2"/>
    <x v="2"/>
    <x v="5"/>
    <n v="6"/>
    <n v="40"/>
    <n v="0.13"/>
    <x v="115"/>
    <x v="123"/>
    <n v="250.4"/>
    <n v="0.83"/>
    <x v="0"/>
  </r>
  <r>
    <x v="64"/>
    <x v="125"/>
    <x v="5"/>
    <x v="3"/>
    <x v="9"/>
    <x v="1"/>
    <x v="1"/>
    <x v="1"/>
    <n v="90"/>
    <n v="250"/>
    <n v="0.05"/>
    <x v="76"/>
    <x v="124"/>
    <n v="21527.84"/>
    <n v="0.99"/>
    <x v="0"/>
  </r>
  <r>
    <x v="37"/>
    <x v="126"/>
    <x v="5"/>
    <x v="2"/>
    <x v="6"/>
    <x v="5"/>
    <x v="2"/>
    <x v="4"/>
    <n v="159"/>
    <n v="30"/>
    <n v="0.06"/>
    <x v="116"/>
    <x v="125"/>
    <n v="4241.28"/>
    <n v="1.06"/>
    <x v="1"/>
  </r>
  <r>
    <x v="86"/>
    <x v="127"/>
    <x v="4"/>
    <x v="3"/>
    <x v="5"/>
    <x v="4"/>
    <x v="0"/>
    <x v="2"/>
    <n v="44"/>
    <n v="180"/>
    <n v="0.03"/>
    <x v="117"/>
    <x v="126"/>
    <n v="7893.59"/>
    <n v="0.97"/>
    <x v="1"/>
  </r>
  <r>
    <x v="20"/>
    <x v="128"/>
    <x v="4"/>
    <x v="0"/>
    <x v="0"/>
    <x v="5"/>
    <x v="2"/>
    <x v="5"/>
    <n v="177"/>
    <n v="40"/>
    <n v="0.03"/>
    <x v="118"/>
    <x v="127"/>
    <n v="6734.65"/>
    <n v="1.02"/>
    <x v="0"/>
  </r>
  <r>
    <x v="87"/>
    <x v="129"/>
    <x v="4"/>
    <x v="0"/>
    <x v="0"/>
    <x v="2"/>
    <x v="2"/>
    <x v="4"/>
    <n v="96"/>
    <n v="30"/>
    <n v="0.13"/>
    <x v="119"/>
    <x v="128"/>
    <n v="2751.94"/>
    <n v="0.91"/>
    <x v="0"/>
  </r>
  <r>
    <x v="88"/>
    <x v="130"/>
    <x v="5"/>
    <x v="2"/>
    <x v="2"/>
    <x v="5"/>
    <x v="0"/>
    <x v="0"/>
    <n v="127"/>
    <n v="35"/>
    <n v="0.06"/>
    <x v="106"/>
    <x v="129"/>
    <n v="4680.17"/>
    <n v="0.89"/>
    <x v="1"/>
  </r>
  <r>
    <x v="70"/>
    <x v="131"/>
    <x v="0"/>
    <x v="3"/>
    <x v="5"/>
    <x v="1"/>
    <x v="0"/>
    <x v="0"/>
    <n v="19"/>
    <n v="35"/>
    <n v="0.12"/>
    <x v="25"/>
    <x v="130"/>
    <n v="581.91999999999996"/>
    <n v="1.01"/>
    <x v="0"/>
  </r>
  <r>
    <x v="77"/>
    <x v="132"/>
    <x v="5"/>
    <x v="0"/>
    <x v="7"/>
    <x v="0"/>
    <x v="2"/>
    <x v="5"/>
    <n v="8"/>
    <n v="40"/>
    <n v="0.04"/>
    <x v="120"/>
    <x v="131"/>
    <n v="365.6"/>
    <n v="0.84"/>
    <x v="0"/>
  </r>
  <r>
    <x v="2"/>
    <x v="133"/>
    <x v="1"/>
    <x v="0"/>
    <x v="7"/>
    <x v="5"/>
    <x v="0"/>
    <x v="0"/>
    <n v="127"/>
    <n v="35"/>
    <n v="0.04"/>
    <x v="106"/>
    <x v="132"/>
    <n v="3789.68"/>
    <n v="1.1299999999999999"/>
    <x v="0"/>
  </r>
  <r>
    <x v="89"/>
    <x v="134"/>
    <x v="0"/>
    <x v="2"/>
    <x v="2"/>
    <x v="0"/>
    <x v="2"/>
    <x v="5"/>
    <n v="11"/>
    <n v="40"/>
    <n v="0.06"/>
    <x v="121"/>
    <x v="133"/>
    <n v="455.95"/>
    <n v="0.91"/>
    <x v="0"/>
  </r>
  <r>
    <x v="83"/>
    <x v="135"/>
    <x v="1"/>
    <x v="1"/>
    <x v="1"/>
    <x v="1"/>
    <x v="2"/>
    <x v="4"/>
    <n v="92"/>
    <n v="30"/>
    <n v="0.15"/>
    <x v="122"/>
    <x v="134"/>
    <n v="2571.2199999999998"/>
    <n v="0.91"/>
    <x v="1"/>
  </r>
  <r>
    <x v="90"/>
    <x v="136"/>
    <x v="5"/>
    <x v="1"/>
    <x v="1"/>
    <x v="2"/>
    <x v="0"/>
    <x v="0"/>
    <n v="165"/>
    <n v="35"/>
    <n v="0.02"/>
    <x v="123"/>
    <x v="135"/>
    <n v="6272.78"/>
    <n v="0.9"/>
    <x v="0"/>
  </r>
  <r>
    <x v="47"/>
    <x v="137"/>
    <x v="0"/>
    <x v="3"/>
    <x v="9"/>
    <x v="5"/>
    <x v="2"/>
    <x v="5"/>
    <n v="45"/>
    <n v="40"/>
    <n v="0.01"/>
    <x v="31"/>
    <x v="136"/>
    <n v="1943.13"/>
    <n v="0.92"/>
    <x v="0"/>
  </r>
  <r>
    <x v="8"/>
    <x v="138"/>
    <x v="3"/>
    <x v="3"/>
    <x v="5"/>
    <x v="3"/>
    <x v="0"/>
    <x v="0"/>
    <n v="144"/>
    <n v="35"/>
    <n v="0.08"/>
    <x v="124"/>
    <x v="137"/>
    <n v="4158.13"/>
    <n v="1.1200000000000001"/>
    <x v="0"/>
  </r>
  <r>
    <x v="65"/>
    <x v="139"/>
    <x v="1"/>
    <x v="3"/>
    <x v="9"/>
    <x v="3"/>
    <x v="2"/>
    <x v="4"/>
    <n v="7"/>
    <n v="30"/>
    <n v="0.01"/>
    <x v="125"/>
    <x v="138"/>
    <n v="197.24"/>
    <n v="1.05"/>
    <x v="1"/>
  </r>
  <r>
    <x v="46"/>
    <x v="140"/>
    <x v="1"/>
    <x v="3"/>
    <x v="5"/>
    <x v="0"/>
    <x v="1"/>
    <x v="3"/>
    <n v="152"/>
    <n v="120"/>
    <n v="0.15"/>
    <x v="126"/>
    <x v="139"/>
    <n v="12711.07"/>
    <n v="1.22"/>
    <x v="0"/>
  </r>
  <r>
    <x v="91"/>
    <x v="141"/>
    <x v="2"/>
    <x v="1"/>
    <x v="1"/>
    <x v="0"/>
    <x v="0"/>
    <x v="2"/>
    <n v="112"/>
    <n v="180"/>
    <n v="0"/>
    <x v="127"/>
    <x v="140"/>
    <n v="22082.03"/>
    <n v="0.91"/>
    <x v="1"/>
  </r>
  <r>
    <x v="92"/>
    <x v="142"/>
    <x v="3"/>
    <x v="2"/>
    <x v="8"/>
    <x v="4"/>
    <x v="0"/>
    <x v="0"/>
    <n v="97"/>
    <n v="35"/>
    <n v="0.08"/>
    <x v="128"/>
    <x v="141"/>
    <n v="2948.99"/>
    <n v="1.06"/>
    <x v="1"/>
  </r>
  <r>
    <x v="93"/>
    <x v="143"/>
    <x v="5"/>
    <x v="0"/>
    <x v="0"/>
    <x v="0"/>
    <x v="2"/>
    <x v="5"/>
    <n v="36"/>
    <n v="40"/>
    <n v="0.04"/>
    <x v="129"/>
    <x v="142"/>
    <n v="1451.74"/>
    <n v="0.95"/>
    <x v="1"/>
  </r>
  <r>
    <x v="93"/>
    <x v="144"/>
    <x v="5"/>
    <x v="3"/>
    <x v="9"/>
    <x v="2"/>
    <x v="1"/>
    <x v="3"/>
    <n v="29"/>
    <n v="120"/>
    <n v="0.03"/>
    <x v="97"/>
    <x v="143"/>
    <n v="3376.06"/>
    <n v="1"/>
    <x v="1"/>
  </r>
  <r>
    <x v="94"/>
    <x v="145"/>
    <x v="3"/>
    <x v="1"/>
    <x v="1"/>
    <x v="3"/>
    <x v="1"/>
    <x v="3"/>
    <n v="75"/>
    <n v="120"/>
    <n v="0.15"/>
    <x v="1"/>
    <x v="144"/>
    <n v="8543.35"/>
    <n v="0.9"/>
    <x v="0"/>
  </r>
  <r>
    <x v="95"/>
    <x v="146"/>
    <x v="4"/>
    <x v="2"/>
    <x v="4"/>
    <x v="0"/>
    <x v="1"/>
    <x v="3"/>
    <n v="199"/>
    <n v="120"/>
    <n v="0.06"/>
    <x v="130"/>
    <x v="145"/>
    <n v="23487.53"/>
    <n v="0.96"/>
    <x v="1"/>
  </r>
  <r>
    <x v="96"/>
    <x v="147"/>
    <x v="3"/>
    <x v="2"/>
    <x v="4"/>
    <x v="3"/>
    <x v="2"/>
    <x v="5"/>
    <n v="11"/>
    <n v="40"/>
    <n v="0.15"/>
    <x v="121"/>
    <x v="146"/>
    <n v="363.69"/>
    <n v="1.03"/>
    <x v="0"/>
  </r>
  <r>
    <x v="97"/>
    <x v="148"/>
    <x v="1"/>
    <x v="3"/>
    <x v="9"/>
    <x v="2"/>
    <x v="1"/>
    <x v="3"/>
    <n v="57"/>
    <n v="120"/>
    <n v="0.11"/>
    <x v="131"/>
    <x v="147"/>
    <n v="7055.15"/>
    <n v="0.86"/>
    <x v="1"/>
  </r>
  <r>
    <x v="59"/>
    <x v="149"/>
    <x v="2"/>
    <x v="0"/>
    <x v="0"/>
    <x v="5"/>
    <x v="0"/>
    <x v="2"/>
    <n v="67"/>
    <n v="180"/>
    <n v="0.01"/>
    <x v="132"/>
    <x v="148"/>
    <n v="10406.120000000001"/>
    <n v="1.1499999999999999"/>
    <x v="1"/>
  </r>
  <r>
    <x v="61"/>
    <x v="150"/>
    <x v="1"/>
    <x v="0"/>
    <x v="0"/>
    <x v="2"/>
    <x v="2"/>
    <x v="4"/>
    <n v="197"/>
    <n v="30"/>
    <n v="7.0000000000000007E-2"/>
    <x v="133"/>
    <x v="149"/>
    <n v="6498.34"/>
    <n v="0.85"/>
    <x v="1"/>
  </r>
  <r>
    <x v="98"/>
    <x v="151"/>
    <x v="4"/>
    <x v="3"/>
    <x v="10"/>
    <x v="2"/>
    <x v="1"/>
    <x v="1"/>
    <n v="117"/>
    <n v="250"/>
    <n v="0.08"/>
    <x v="134"/>
    <x v="150"/>
    <n v="24364.93"/>
    <n v="1.1000000000000001"/>
    <x v="0"/>
  </r>
  <r>
    <x v="98"/>
    <x v="152"/>
    <x v="0"/>
    <x v="2"/>
    <x v="2"/>
    <x v="0"/>
    <x v="2"/>
    <x v="5"/>
    <n v="97"/>
    <n v="40"/>
    <n v="0.1"/>
    <x v="135"/>
    <x v="151"/>
    <n v="3634.37"/>
    <n v="0.96"/>
    <x v="0"/>
  </r>
  <r>
    <x v="99"/>
    <x v="153"/>
    <x v="3"/>
    <x v="2"/>
    <x v="2"/>
    <x v="0"/>
    <x v="2"/>
    <x v="5"/>
    <n v="104"/>
    <n v="40"/>
    <n v="0.04"/>
    <x v="136"/>
    <x v="152"/>
    <n v="4659.33"/>
    <n v="0.86"/>
    <x v="0"/>
  </r>
  <r>
    <x v="100"/>
    <x v="154"/>
    <x v="3"/>
    <x v="2"/>
    <x v="4"/>
    <x v="2"/>
    <x v="2"/>
    <x v="4"/>
    <n v="143"/>
    <n v="30"/>
    <n v="0.11"/>
    <x v="137"/>
    <x v="153"/>
    <n v="4423.34"/>
    <n v="0.86"/>
    <x v="1"/>
  </r>
  <r>
    <x v="98"/>
    <x v="155"/>
    <x v="1"/>
    <x v="2"/>
    <x v="2"/>
    <x v="5"/>
    <x v="0"/>
    <x v="0"/>
    <n v="77"/>
    <n v="35"/>
    <n v="0.14000000000000001"/>
    <x v="138"/>
    <x v="154"/>
    <n v="2271.33"/>
    <n v="1.02"/>
    <x v="1"/>
  </r>
  <r>
    <x v="83"/>
    <x v="156"/>
    <x v="3"/>
    <x v="0"/>
    <x v="7"/>
    <x v="1"/>
    <x v="2"/>
    <x v="4"/>
    <n v="126"/>
    <n v="30"/>
    <n v="7.0000000000000007E-2"/>
    <x v="139"/>
    <x v="155"/>
    <n v="4087.15"/>
    <n v="0.86"/>
    <x v="0"/>
  </r>
  <r>
    <x v="83"/>
    <x v="157"/>
    <x v="0"/>
    <x v="0"/>
    <x v="7"/>
    <x v="0"/>
    <x v="2"/>
    <x v="5"/>
    <n v="151"/>
    <n v="40"/>
    <n v="0.11"/>
    <x v="140"/>
    <x v="156"/>
    <n v="4409.18"/>
    <n v="1.22"/>
    <x v="0"/>
  </r>
  <r>
    <x v="101"/>
    <x v="158"/>
    <x v="4"/>
    <x v="0"/>
    <x v="0"/>
    <x v="0"/>
    <x v="1"/>
    <x v="1"/>
    <n v="168"/>
    <n v="250"/>
    <n v="0.1"/>
    <x v="141"/>
    <x v="157"/>
    <n v="38978.81"/>
    <n v="0.97"/>
    <x v="0"/>
  </r>
  <r>
    <x v="102"/>
    <x v="159"/>
    <x v="3"/>
    <x v="1"/>
    <x v="3"/>
    <x v="3"/>
    <x v="1"/>
    <x v="1"/>
    <n v="11"/>
    <n v="250"/>
    <n v="0.03"/>
    <x v="142"/>
    <x v="158"/>
    <n v="2617.7800000000002"/>
    <n v="1.02"/>
    <x v="1"/>
  </r>
  <r>
    <x v="63"/>
    <x v="160"/>
    <x v="2"/>
    <x v="3"/>
    <x v="10"/>
    <x v="5"/>
    <x v="0"/>
    <x v="0"/>
    <n v="159"/>
    <n v="35"/>
    <n v="0.01"/>
    <x v="143"/>
    <x v="159"/>
    <n v="6558.95"/>
    <n v="0.84"/>
    <x v="1"/>
  </r>
  <r>
    <x v="27"/>
    <x v="161"/>
    <x v="0"/>
    <x v="1"/>
    <x v="1"/>
    <x v="1"/>
    <x v="0"/>
    <x v="0"/>
    <n v="98"/>
    <n v="35"/>
    <n v="0.03"/>
    <x v="144"/>
    <x v="160"/>
    <n v="3117.01"/>
    <n v="1.07"/>
    <x v="1"/>
  </r>
  <r>
    <x v="73"/>
    <x v="162"/>
    <x v="0"/>
    <x v="2"/>
    <x v="4"/>
    <x v="3"/>
    <x v="1"/>
    <x v="1"/>
    <n v="158"/>
    <n v="250"/>
    <n v="0.1"/>
    <x v="145"/>
    <x v="161"/>
    <n v="39877.75"/>
    <n v="0.89"/>
    <x v="1"/>
  </r>
  <r>
    <x v="47"/>
    <x v="163"/>
    <x v="3"/>
    <x v="0"/>
    <x v="0"/>
    <x v="3"/>
    <x v="0"/>
    <x v="0"/>
    <n v="52"/>
    <n v="35"/>
    <n v="7.0000000000000007E-2"/>
    <x v="146"/>
    <x v="162"/>
    <n v="1759.52"/>
    <n v="0.96"/>
    <x v="0"/>
  </r>
  <r>
    <x v="103"/>
    <x v="164"/>
    <x v="0"/>
    <x v="2"/>
    <x v="2"/>
    <x v="4"/>
    <x v="1"/>
    <x v="3"/>
    <n v="48"/>
    <n v="120"/>
    <n v="0.04"/>
    <x v="78"/>
    <x v="163"/>
    <n v="6245.41"/>
    <n v="0.89"/>
    <x v="0"/>
  </r>
  <r>
    <x v="8"/>
    <x v="165"/>
    <x v="1"/>
    <x v="1"/>
    <x v="1"/>
    <x v="5"/>
    <x v="1"/>
    <x v="3"/>
    <n v="97"/>
    <n v="120"/>
    <n v="0.11"/>
    <x v="147"/>
    <x v="164"/>
    <n v="11509.51"/>
    <n v="0.9"/>
    <x v="0"/>
  </r>
  <r>
    <x v="61"/>
    <x v="166"/>
    <x v="5"/>
    <x v="2"/>
    <x v="2"/>
    <x v="1"/>
    <x v="2"/>
    <x v="5"/>
    <n v="47"/>
    <n v="40"/>
    <n v="0.09"/>
    <x v="148"/>
    <x v="165"/>
    <n v="1778.9"/>
    <n v="0.96"/>
    <x v="1"/>
  </r>
  <r>
    <x v="104"/>
    <x v="167"/>
    <x v="2"/>
    <x v="2"/>
    <x v="4"/>
    <x v="2"/>
    <x v="1"/>
    <x v="3"/>
    <n v="161"/>
    <n v="120"/>
    <n v="0.12"/>
    <x v="149"/>
    <x v="166"/>
    <n v="18364.509999999998"/>
    <n v="0.93"/>
    <x v="0"/>
  </r>
  <r>
    <x v="29"/>
    <x v="168"/>
    <x v="2"/>
    <x v="0"/>
    <x v="7"/>
    <x v="3"/>
    <x v="2"/>
    <x v="5"/>
    <n v="80"/>
    <n v="40"/>
    <n v="0.01"/>
    <x v="150"/>
    <x v="167"/>
    <n v="3775"/>
    <n v="0.84"/>
    <x v="1"/>
  </r>
  <r>
    <x v="105"/>
    <x v="169"/>
    <x v="0"/>
    <x v="2"/>
    <x v="8"/>
    <x v="4"/>
    <x v="2"/>
    <x v="5"/>
    <n v="180"/>
    <n v="40"/>
    <n v="0.04"/>
    <x v="151"/>
    <x v="168"/>
    <n v="7079.45"/>
    <n v="0.98"/>
    <x v="0"/>
  </r>
  <r>
    <x v="80"/>
    <x v="170"/>
    <x v="0"/>
    <x v="1"/>
    <x v="1"/>
    <x v="5"/>
    <x v="1"/>
    <x v="3"/>
    <n v="122"/>
    <n v="120"/>
    <n v="0.02"/>
    <x v="152"/>
    <x v="169"/>
    <n v="15605.68"/>
    <n v="0.92"/>
    <x v="0"/>
  </r>
  <r>
    <x v="106"/>
    <x v="171"/>
    <x v="1"/>
    <x v="1"/>
    <x v="1"/>
    <x v="5"/>
    <x v="0"/>
    <x v="2"/>
    <n v="122"/>
    <n v="180"/>
    <n v="0.02"/>
    <x v="153"/>
    <x v="170"/>
    <n v="17902.66"/>
    <n v="1.2"/>
    <x v="0"/>
  </r>
  <r>
    <x v="8"/>
    <x v="172"/>
    <x v="4"/>
    <x v="2"/>
    <x v="4"/>
    <x v="0"/>
    <x v="0"/>
    <x v="0"/>
    <n v="28"/>
    <n v="35"/>
    <n v="0.15"/>
    <x v="154"/>
    <x v="171"/>
    <n v="982.4"/>
    <n v="0.85"/>
    <x v="1"/>
  </r>
  <r>
    <x v="34"/>
    <x v="173"/>
    <x v="2"/>
    <x v="0"/>
    <x v="0"/>
    <x v="5"/>
    <x v="0"/>
    <x v="0"/>
    <n v="23"/>
    <n v="35"/>
    <n v="0.15"/>
    <x v="155"/>
    <x v="172"/>
    <n v="678.27"/>
    <n v="1.01"/>
    <x v="1"/>
  </r>
  <r>
    <x v="103"/>
    <x v="174"/>
    <x v="3"/>
    <x v="0"/>
    <x v="7"/>
    <x v="2"/>
    <x v="2"/>
    <x v="4"/>
    <n v="167"/>
    <n v="30"/>
    <n v="0.03"/>
    <x v="156"/>
    <x v="173"/>
    <n v="5588.97"/>
    <n v="0.87"/>
    <x v="1"/>
  </r>
  <r>
    <x v="12"/>
    <x v="175"/>
    <x v="0"/>
    <x v="3"/>
    <x v="9"/>
    <x v="0"/>
    <x v="2"/>
    <x v="4"/>
    <n v="157"/>
    <n v="30"/>
    <n v="0.12"/>
    <x v="157"/>
    <x v="174"/>
    <n v="3854.94"/>
    <n v="1.08"/>
    <x v="0"/>
  </r>
  <r>
    <x v="74"/>
    <x v="176"/>
    <x v="2"/>
    <x v="0"/>
    <x v="0"/>
    <x v="2"/>
    <x v="0"/>
    <x v="0"/>
    <n v="53"/>
    <n v="35"/>
    <n v="0.03"/>
    <x v="158"/>
    <x v="175"/>
    <n v="1776.25"/>
    <n v="1.01"/>
    <x v="0"/>
  </r>
  <r>
    <x v="45"/>
    <x v="177"/>
    <x v="3"/>
    <x v="0"/>
    <x v="7"/>
    <x v="2"/>
    <x v="2"/>
    <x v="5"/>
    <n v="145"/>
    <n v="40"/>
    <n v="0.01"/>
    <x v="159"/>
    <x v="176"/>
    <n v="5901.5"/>
    <n v="0.97"/>
    <x v="0"/>
  </r>
  <r>
    <x v="107"/>
    <x v="178"/>
    <x v="5"/>
    <x v="2"/>
    <x v="4"/>
    <x v="0"/>
    <x v="2"/>
    <x v="5"/>
    <n v="70"/>
    <n v="40"/>
    <n v="0.05"/>
    <x v="64"/>
    <x v="177"/>
    <n v="3057.57"/>
    <n v="0.87"/>
    <x v="0"/>
  </r>
  <r>
    <x v="108"/>
    <x v="179"/>
    <x v="3"/>
    <x v="2"/>
    <x v="2"/>
    <x v="0"/>
    <x v="1"/>
    <x v="1"/>
    <n v="193"/>
    <n v="250"/>
    <n v="0"/>
    <x v="160"/>
    <x v="178"/>
    <n v="39104.79"/>
    <n v="1.23"/>
    <x v="1"/>
  </r>
  <r>
    <x v="82"/>
    <x v="180"/>
    <x v="0"/>
    <x v="3"/>
    <x v="10"/>
    <x v="0"/>
    <x v="0"/>
    <x v="2"/>
    <n v="29"/>
    <n v="180"/>
    <n v="0.13"/>
    <x v="161"/>
    <x v="179"/>
    <n v="4662.26"/>
    <n v="0.97"/>
    <x v="0"/>
  </r>
  <r>
    <x v="73"/>
    <x v="181"/>
    <x v="4"/>
    <x v="3"/>
    <x v="5"/>
    <x v="5"/>
    <x v="1"/>
    <x v="3"/>
    <n v="13"/>
    <n v="120"/>
    <n v="0.12"/>
    <x v="162"/>
    <x v="180"/>
    <n v="1128.28"/>
    <n v="1.22"/>
    <x v="0"/>
  </r>
  <r>
    <x v="109"/>
    <x v="182"/>
    <x v="3"/>
    <x v="2"/>
    <x v="2"/>
    <x v="1"/>
    <x v="2"/>
    <x v="4"/>
    <n v="64"/>
    <n v="30"/>
    <n v="0.02"/>
    <x v="163"/>
    <x v="181"/>
    <n v="1560.15"/>
    <n v="1.21"/>
    <x v="1"/>
  </r>
  <r>
    <x v="73"/>
    <x v="183"/>
    <x v="3"/>
    <x v="2"/>
    <x v="2"/>
    <x v="3"/>
    <x v="2"/>
    <x v="4"/>
    <n v="175"/>
    <n v="30"/>
    <n v="0.02"/>
    <x v="164"/>
    <x v="182"/>
    <n v="5529.94"/>
    <n v="0.93"/>
    <x v="0"/>
  </r>
  <r>
    <x v="110"/>
    <x v="184"/>
    <x v="1"/>
    <x v="2"/>
    <x v="2"/>
    <x v="3"/>
    <x v="2"/>
    <x v="5"/>
    <n v="128"/>
    <n v="40"/>
    <n v="0.1"/>
    <x v="165"/>
    <x v="183"/>
    <n v="5496.3"/>
    <n v="0.84"/>
    <x v="0"/>
  </r>
  <r>
    <x v="111"/>
    <x v="185"/>
    <x v="2"/>
    <x v="0"/>
    <x v="7"/>
    <x v="1"/>
    <x v="0"/>
    <x v="0"/>
    <n v="65"/>
    <n v="35"/>
    <n v="0.13"/>
    <x v="166"/>
    <x v="184"/>
    <n v="2110.4299999999998"/>
    <n v="0.94"/>
    <x v="0"/>
  </r>
  <r>
    <x v="108"/>
    <x v="186"/>
    <x v="0"/>
    <x v="3"/>
    <x v="5"/>
    <x v="2"/>
    <x v="0"/>
    <x v="0"/>
    <n v="187"/>
    <n v="35"/>
    <n v="0.14000000000000001"/>
    <x v="167"/>
    <x v="185"/>
    <n v="6122.77"/>
    <n v="0.92"/>
    <x v="1"/>
  </r>
  <r>
    <x v="94"/>
    <x v="187"/>
    <x v="2"/>
    <x v="2"/>
    <x v="4"/>
    <x v="4"/>
    <x v="1"/>
    <x v="3"/>
    <n v="39"/>
    <n v="120"/>
    <n v="0.1"/>
    <x v="6"/>
    <x v="186"/>
    <n v="4338.32"/>
    <n v="0.97"/>
    <x v="1"/>
  </r>
  <r>
    <x v="112"/>
    <x v="188"/>
    <x v="3"/>
    <x v="3"/>
    <x v="10"/>
    <x v="0"/>
    <x v="1"/>
    <x v="1"/>
    <n v="105"/>
    <n v="250"/>
    <n v="0.04"/>
    <x v="168"/>
    <x v="187"/>
    <n v="29863.73"/>
    <n v="0.84"/>
    <x v="0"/>
  </r>
  <r>
    <x v="113"/>
    <x v="189"/>
    <x v="1"/>
    <x v="2"/>
    <x v="4"/>
    <x v="1"/>
    <x v="2"/>
    <x v="5"/>
    <n v="166"/>
    <n v="40"/>
    <n v="0.04"/>
    <x v="169"/>
    <x v="188"/>
    <n v="7400.65"/>
    <n v="0.86"/>
    <x v="0"/>
  </r>
  <r>
    <x v="105"/>
    <x v="190"/>
    <x v="4"/>
    <x v="2"/>
    <x v="2"/>
    <x v="2"/>
    <x v="2"/>
    <x v="5"/>
    <n v="126"/>
    <n v="40"/>
    <n v="7.0000000000000007E-2"/>
    <x v="124"/>
    <x v="189"/>
    <n v="5244.35"/>
    <n v="0.89"/>
    <x v="0"/>
  </r>
  <r>
    <x v="114"/>
    <x v="191"/>
    <x v="0"/>
    <x v="1"/>
    <x v="1"/>
    <x v="0"/>
    <x v="2"/>
    <x v="5"/>
    <n v="111"/>
    <n v="40"/>
    <n v="0.12"/>
    <x v="170"/>
    <x v="190"/>
    <n v="4256.09"/>
    <n v="0.92"/>
    <x v="0"/>
  </r>
  <r>
    <x v="115"/>
    <x v="192"/>
    <x v="3"/>
    <x v="1"/>
    <x v="1"/>
    <x v="3"/>
    <x v="2"/>
    <x v="4"/>
    <n v="176"/>
    <n v="30"/>
    <n v="0.14000000000000001"/>
    <x v="171"/>
    <x v="191"/>
    <n v="3972"/>
    <n v="1.1399999999999999"/>
    <x v="1"/>
  </r>
  <r>
    <x v="79"/>
    <x v="193"/>
    <x v="0"/>
    <x v="0"/>
    <x v="0"/>
    <x v="3"/>
    <x v="1"/>
    <x v="3"/>
    <n v="198"/>
    <n v="120"/>
    <n v="7.0000000000000007E-2"/>
    <x v="112"/>
    <x v="192"/>
    <n v="22763.74"/>
    <n v="0.97"/>
    <x v="1"/>
  </r>
  <r>
    <x v="116"/>
    <x v="194"/>
    <x v="3"/>
    <x v="2"/>
    <x v="2"/>
    <x v="2"/>
    <x v="2"/>
    <x v="5"/>
    <n v="186"/>
    <n v="40"/>
    <n v="0.01"/>
    <x v="172"/>
    <x v="193"/>
    <n v="8659.94"/>
    <n v="0.85"/>
    <x v="1"/>
  </r>
  <r>
    <x v="117"/>
    <x v="195"/>
    <x v="1"/>
    <x v="2"/>
    <x v="4"/>
    <x v="1"/>
    <x v="0"/>
    <x v="0"/>
    <n v="144"/>
    <n v="35"/>
    <n v="0.04"/>
    <x v="124"/>
    <x v="194"/>
    <n v="3892.13"/>
    <n v="1.24"/>
    <x v="0"/>
  </r>
  <r>
    <x v="90"/>
    <x v="196"/>
    <x v="2"/>
    <x v="2"/>
    <x v="2"/>
    <x v="1"/>
    <x v="0"/>
    <x v="2"/>
    <n v="122"/>
    <n v="180"/>
    <n v="0.08"/>
    <x v="153"/>
    <x v="195"/>
    <n v="24207.41"/>
    <n v="0.83"/>
    <x v="0"/>
  </r>
  <r>
    <x v="33"/>
    <x v="197"/>
    <x v="4"/>
    <x v="2"/>
    <x v="6"/>
    <x v="4"/>
    <x v="1"/>
    <x v="3"/>
    <n v="73"/>
    <n v="120"/>
    <n v="0.13"/>
    <x v="173"/>
    <x v="196"/>
    <n v="9043.25"/>
    <n v="0.84"/>
    <x v="1"/>
  </r>
  <r>
    <x v="117"/>
    <x v="198"/>
    <x v="0"/>
    <x v="0"/>
    <x v="0"/>
    <x v="4"/>
    <x v="2"/>
    <x v="5"/>
    <n v="23"/>
    <n v="40"/>
    <n v="0.08"/>
    <x v="174"/>
    <x v="197"/>
    <n v="753.32"/>
    <n v="1.1200000000000001"/>
    <x v="1"/>
  </r>
  <r>
    <x v="54"/>
    <x v="199"/>
    <x v="5"/>
    <x v="0"/>
    <x v="7"/>
    <x v="3"/>
    <x v="1"/>
    <x v="3"/>
    <n v="26"/>
    <n v="120"/>
    <n v="0.03"/>
    <x v="175"/>
    <x v="198"/>
    <n v="3117.96"/>
    <n v="0.97"/>
    <x v="0"/>
  </r>
  <r>
    <x v="118"/>
    <x v="200"/>
    <x v="0"/>
    <x v="0"/>
    <x v="7"/>
    <x v="2"/>
    <x v="1"/>
    <x v="1"/>
    <n v="103"/>
    <n v="250"/>
    <n v="0.04"/>
    <x v="176"/>
    <x v="199"/>
    <n v="27033.73"/>
    <n v="0.91"/>
    <x v="0"/>
  </r>
  <r>
    <x v="45"/>
    <x v="201"/>
    <x v="0"/>
    <x v="1"/>
    <x v="1"/>
    <x v="2"/>
    <x v="1"/>
    <x v="1"/>
    <n v="92"/>
    <n v="250"/>
    <n v="0.12"/>
    <x v="177"/>
    <x v="200"/>
    <n v="21461.77"/>
    <n v="0.94"/>
    <x v="1"/>
  </r>
  <r>
    <x v="86"/>
    <x v="202"/>
    <x v="4"/>
    <x v="2"/>
    <x v="8"/>
    <x v="4"/>
    <x v="0"/>
    <x v="2"/>
    <n v="86"/>
    <n v="180"/>
    <n v="0.11"/>
    <x v="178"/>
    <x v="201"/>
    <n v="15699.22"/>
    <n v="0.88"/>
    <x v="1"/>
  </r>
  <r>
    <x v="41"/>
    <x v="203"/>
    <x v="1"/>
    <x v="1"/>
    <x v="3"/>
    <x v="2"/>
    <x v="0"/>
    <x v="2"/>
    <n v="164"/>
    <n v="180"/>
    <n v="0.1"/>
    <x v="179"/>
    <x v="202"/>
    <n v="29858.89"/>
    <n v="0.89"/>
    <x v="1"/>
  </r>
  <r>
    <x v="119"/>
    <x v="204"/>
    <x v="1"/>
    <x v="3"/>
    <x v="9"/>
    <x v="4"/>
    <x v="0"/>
    <x v="0"/>
    <n v="6"/>
    <n v="35"/>
    <n v="0.14000000000000001"/>
    <x v="125"/>
    <x v="203"/>
    <n v="187.15"/>
    <n v="0.97"/>
    <x v="1"/>
  </r>
  <r>
    <x v="100"/>
    <x v="205"/>
    <x v="5"/>
    <x v="1"/>
    <x v="3"/>
    <x v="4"/>
    <x v="1"/>
    <x v="1"/>
    <n v="48"/>
    <n v="250"/>
    <n v="0.12"/>
    <x v="180"/>
    <x v="204"/>
    <n v="8678.49"/>
    <n v="1.22"/>
    <x v="0"/>
  </r>
  <r>
    <x v="120"/>
    <x v="206"/>
    <x v="1"/>
    <x v="0"/>
    <x v="0"/>
    <x v="5"/>
    <x v="2"/>
    <x v="4"/>
    <n v="25"/>
    <n v="30"/>
    <n v="7.0000000000000007E-2"/>
    <x v="181"/>
    <x v="205"/>
    <n v="786.67"/>
    <n v="0.89"/>
    <x v="1"/>
  </r>
  <r>
    <x v="33"/>
    <x v="207"/>
    <x v="3"/>
    <x v="0"/>
    <x v="0"/>
    <x v="3"/>
    <x v="0"/>
    <x v="2"/>
    <n v="10"/>
    <n v="180"/>
    <n v="0.1"/>
    <x v="31"/>
    <x v="206"/>
    <n v="1387.42"/>
    <n v="1.17"/>
    <x v="1"/>
  </r>
  <r>
    <x v="108"/>
    <x v="208"/>
    <x v="3"/>
    <x v="3"/>
    <x v="9"/>
    <x v="0"/>
    <x v="0"/>
    <x v="2"/>
    <n v="13"/>
    <n v="180"/>
    <n v="0.15"/>
    <x v="182"/>
    <x v="207"/>
    <n v="2243.44"/>
    <n v="0.89"/>
    <x v="0"/>
  </r>
  <r>
    <x v="121"/>
    <x v="209"/>
    <x v="1"/>
    <x v="0"/>
    <x v="7"/>
    <x v="3"/>
    <x v="2"/>
    <x v="5"/>
    <n v="91"/>
    <n v="40"/>
    <n v="0.08"/>
    <x v="183"/>
    <x v="208"/>
    <n v="3733"/>
    <n v="0.9"/>
    <x v="1"/>
  </r>
  <r>
    <x v="114"/>
    <x v="210"/>
    <x v="0"/>
    <x v="2"/>
    <x v="8"/>
    <x v="0"/>
    <x v="0"/>
    <x v="0"/>
    <n v="32"/>
    <n v="35"/>
    <n v="0.03"/>
    <x v="184"/>
    <x v="209"/>
    <n v="1021.19"/>
    <n v="1.06"/>
    <x v="0"/>
  </r>
  <r>
    <x v="122"/>
    <x v="211"/>
    <x v="0"/>
    <x v="3"/>
    <x v="9"/>
    <x v="1"/>
    <x v="2"/>
    <x v="5"/>
    <n v="15"/>
    <n v="40"/>
    <n v="0"/>
    <x v="185"/>
    <x v="210"/>
    <n v="536.57000000000005"/>
    <n v="1.1200000000000001"/>
    <x v="1"/>
  </r>
  <r>
    <x v="123"/>
    <x v="212"/>
    <x v="5"/>
    <x v="0"/>
    <x v="7"/>
    <x v="3"/>
    <x v="0"/>
    <x v="2"/>
    <n v="198"/>
    <n v="180"/>
    <n v="0.15"/>
    <x v="99"/>
    <x v="211"/>
    <n v="26791.200000000001"/>
    <n v="1.1299999999999999"/>
    <x v="0"/>
  </r>
  <r>
    <x v="10"/>
    <x v="213"/>
    <x v="2"/>
    <x v="0"/>
    <x v="7"/>
    <x v="0"/>
    <x v="1"/>
    <x v="1"/>
    <n v="30"/>
    <n v="250"/>
    <n v="0.14000000000000001"/>
    <x v="186"/>
    <x v="212"/>
    <n v="6218.84"/>
    <n v="1.04"/>
    <x v="1"/>
  </r>
  <r>
    <x v="124"/>
    <x v="214"/>
    <x v="3"/>
    <x v="3"/>
    <x v="5"/>
    <x v="4"/>
    <x v="2"/>
    <x v="4"/>
    <n v="166"/>
    <n v="30"/>
    <n v="0.1"/>
    <x v="187"/>
    <x v="213"/>
    <n v="4042.52"/>
    <n v="1.1100000000000001"/>
    <x v="0"/>
  </r>
  <r>
    <x v="125"/>
    <x v="215"/>
    <x v="1"/>
    <x v="2"/>
    <x v="6"/>
    <x v="4"/>
    <x v="2"/>
    <x v="5"/>
    <n v="70"/>
    <n v="40"/>
    <n v="0.02"/>
    <x v="64"/>
    <x v="214"/>
    <n v="2266.6"/>
    <n v="1.21"/>
    <x v="0"/>
  </r>
  <r>
    <x v="67"/>
    <x v="216"/>
    <x v="5"/>
    <x v="0"/>
    <x v="7"/>
    <x v="4"/>
    <x v="2"/>
    <x v="4"/>
    <n v="129"/>
    <n v="30"/>
    <n v="0.13"/>
    <x v="107"/>
    <x v="215"/>
    <n v="4010.58"/>
    <n v="0.84"/>
    <x v="1"/>
  </r>
  <r>
    <x v="126"/>
    <x v="217"/>
    <x v="2"/>
    <x v="1"/>
    <x v="3"/>
    <x v="2"/>
    <x v="1"/>
    <x v="1"/>
    <n v="35"/>
    <n v="250"/>
    <n v="0.13"/>
    <x v="188"/>
    <x v="216"/>
    <n v="6187.16"/>
    <n v="1.23"/>
    <x v="1"/>
  </r>
  <r>
    <x v="64"/>
    <x v="218"/>
    <x v="1"/>
    <x v="3"/>
    <x v="9"/>
    <x v="5"/>
    <x v="0"/>
    <x v="0"/>
    <n v="22"/>
    <n v="35"/>
    <n v="0.08"/>
    <x v="189"/>
    <x v="217"/>
    <n v="698.38"/>
    <n v="1.01"/>
    <x v="1"/>
  </r>
  <r>
    <x v="60"/>
    <x v="219"/>
    <x v="5"/>
    <x v="3"/>
    <x v="5"/>
    <x v="0"/>
    <x v="2"/>
    <x v="5"/>
    <n v="18"/>
    <n v="40"/>
    <n v="0.04"/>
    <x v="190"/>
    <x v="218"/>
    <n v="635.57000000000005"/>
    <n v="1.0900000000000001"/>
    <x v="1"/>
  </r>
  <r>
    <x v="55"/>
    <x v="220"/>
    <x v="4"/>
    <x v="1"/>
    <x v="1"/>
    <x v="2"/>
    <x v="2"/>
    <x v="4"/>
    <n v="162"/>
    <n v="30"/>
    <n v="0.1"/>
    <x v="7"/>
    <x v="219"/>
    <n v="4710.07"/>
    <n v="0.93"/>
    <x v="1"/>
  </r>
  <r>
    <x v="93"/>
    <x v="221"/>
    <x v="2"/>
    <x v="0"/>
    <x v="7"/>
    <x v="1"/>
    <x v="2"/>
    <x v="5"/>
    <n v="118"/>
    <n v="40"/>
    <n v="0.01"/>
    <x v="191"/>
    <x v="220"/>
    <n v="4365.6899999999996"/>
    <n v="1.07"/>
    <x v="0"/>
  </r>
  <r>
    <x v="88"/>
    <x v="222"/>
    <x v="0"/>
    <x v="1"/>
    <x v="3"/>
    <x v="1"/>
    <x v="0"/>
    <x v="2"/>
    <n v="155"/>
    <n v="180"/>
    <n v="0.1"/>
    <x v="18"/>
    <x v="221"/>
    <n v="29858.42"/>
    <n v="0.84"/>
    <x v="0"/>
  </r>
  <r>
    <x v="127"/>
    <x v="223"/>
    <x v="1"/>
    <x v="3"/>
    <x v="9"/>
    <x v="0"/>
    <x v="2"/>
    <x v="4"/>
    <n v="167"/>
    <n v="30"/>
    <n v="0"/>
    <x v="156"/>
    <x v="222"/>
    <n v="5793.1"/>
    <n v="0.86"/>
    <x v="0"/>
  </r>
  <r>
    <x v="128"/>
    <x v="224"/>
    <x v="0"/>
    <x v="3"/>
    <x v="9"/>
    <x v="5"/>
    <x v="2"/>
    <x v="4"/>
    <n v="146"/>
    <n v="30"/>
    <n v="0.09"/>
    <x v="192"/>
    <x v="223"/>
    <n v="4251.21"/>
    <n v="0.94"/>
    <x v="1"/>
  </r>
  <r>
    <x v="129"/>
    <x v="225"/>
    <x v="3"/>
    <x v="1"/>
    <x v="1"/>
    <x v="5"/>
    <x v="2"/>
    <x v="5"/>
    <n v="45"/>
    <n v="40"/>
    <n v="0.12"/>
    <x v="31"/>
    <x v="97"/>
    <n v="1867.64"/>
    <n v="0.85"/>
    <x v="0"/>
  </r>
  <r>
    <x v="50"/>
    <x v="226"/>
    <x v="1"/>
    <x v="2"/>
    <x v="8"/>
    <x v="4"/>
    <x v="0"/>
    <x v="0"/>
    <n v="80"/>
    <n v="35"/>
    <n v="7.0000000000000007E-2"/>
    <x v="64"/>
    <x v="224"/>
    <n v="2618.14"/>
    <n v="0.99"/>
    <x v="1"/>
  </r>
  <r>
    <x v="91"/>
    <x v="227"/>
    <x v="4"/>
    <x v="1"/>
    <x v="1"/>
    <x v="2"/>
    <x v="1"/>
    <x v="3"/>
    <n v="75"/>
    <n v="120"/>
    <n v="0.14000000000000001"/>
    <x v="1"/>
    <x v="225"/>
    <n v="9287.4599999999991"/>
    <n v="0.83"/>
    <x v="0"/>
  </r>
  <r>
    <x v="116"/>
    <x v="228"/>
    <x v="0"/>
    <x v="3"/>
    <x v="5"/>
    <x v="0"/>
    <x v="0"/>
    <x v="0"/>
    <n v="6"/>
    <n v="35"/>
    <n v="0.04"/>
    <x v="125"/>
    <x v="226"/>
    <n v="184.13"/>
    <n v="1.0900000000000001"/>
    <x v="0"/>
  </r>
  <r>
    <x v="97"/>
    <x v="229"/>
    <x v="2"/>
    <x v="1"/>
    <x v="3"/>
    <x v="0"/>
    <x v="0"/>
    <x v="0"/>
    <n v="95"/>
    <n v="35"/>
    <n v="0.05"/>
    <x v="193"/>
    <x v="227"/>
    <n v="2816.31"/>
    <n v="1.1200000000000001"/>
    <x v="0"/>
  </r>
  <r>
    <x v="124"/>
    <x v="230"/>
    <x v="3"/>
    <x v="3"/>
    <x v="10"/>
    <x v="4"/>
    <x v="0"/>
    <x v="0"/>
    <n v="37"/>
    <n v="35"/>
    <n v="0.1"/>
    <x v="194"/>
    <x v="228"/>
    <n v="976.66"/>
    <n v="1.19"/>
    <x v="0"/>
  </r>
  <r>
    <x v="130"/>
    <x v="231"/>
    <x v="2"/>
    <x v="2"/>
    <x v="6"/>
    <x v="2"/>
    <x v="2"/>
    <x v="5"/>
    <n v="175"/>
    <n v="40"/>
    <n v="0.12"/>
    <x v="15"/>
    <x v="229"/>
    <n v="6531.76"/>
    <n v="0.94"/>
    <x v="0"/>
  </r>
  <r>
    <x v="131"/>
    <x v="232"/>
    <x v="3"/>
    <x v="3"/>
    <x v="10"/>
    <x v="5"/>
    <x v="1"/>
    <x v="1"/>
    <n v="141"/>
    <n v="250"/>
    <n v="0.01"/>
    <x v="195"/>
    <x v="230"/>
    <n v="36507.339999999997"/>
    <n v="0.96"/>
    <x v="0"/>
  </r>
  <r>
    <x v="97"/>
    <x v="233"/>
    <x v="5"/>
    <x v="2"/>
    <x v="6"/>
    <x v="5"/>
    <x v="0"/>
    <x v="0"/>
    <n v="38"/>
    <n v="35"/>
    <n v="0.13"/>
    <x v="196"/>
    <x v="231"/>
    <n v="1086.05"/>
    <n v="1.07"/>
    <x v="1"/>
  </r>
  <r>
    <x v="0"/>
    <x v="234"/>
    <x v="4"/>
    <x v="2"/>
    <x v="6"/>
    <x v="0"/>
    <x v="1"/>
    <x v="1"/>
    <n v="141"/>
    <n v="250"/>
    <n v="0.14000000000000001"/>
    <x v="195"/>
    <x v="232"/>
    <n v="32339.8"/>
    <n v="0.94"/>
    <x v="0"/>
  </r>
  <r>
    <x v="15"/>
    <x v="235"/>
    <x v="4"/>
    <x v="2"/>
    <x v="6"/>
    <x v="0"/>
    <x v="1"/>
    <x v="1"/>
    <n v="78"/>
    <n v="250"/>
    <n v="0.13"/>
    <x v="197"/>
    <x v="233"/>
    <n v="17902.96"/>
    <n v="0.95"/>
    <x v="0"/>
  </r>
  <r>
    <x v="56"/>
    <x v="236"/>
    <x v="3"/>
    <x v="3"/>
    <x v="5"/>
    <x v="0"/>
    <x v="1"/>
    <x v="3"/>
    <n v="195"/>
    <n v="120"/>
    <n v="0.05"/>
    <x v="198"/>
    <x v="234"/>
    <n v="22888.66"/>
    <n v="0.97"/>
    <x v="0"/>
  </r>
  <r>
    <x v="34"/>
    <x v="237"/>
    <x v="4"/>
    <x v="1"/>
    <x v="3"/>
    <x v="2"/>
    <x v="1"/>
    <x v="1"/>
    <n v="139"/>
    <n v="250"/>
    <n v="0.04"/>
    <x v="199"/>
    <x v="235"/>
    <n v="38241.71"/>
    <n v="0.87"/>
    <x v="0"/>
  </r>
  <r>
    <x v="16"/>
    <x v="238"/>
    <x v="4"/>
    <x v="0"/>
    <x v="0"/>
    <x v="2"/>
    <x v="0"/>
    <x v="0"/>
    <n v="91"/>
    <n v="35"/>
    <n v="0.14000000000000001"/>
    <x v="200"/>
    <x v="236"/>
    <n v="2278.52"/>
    <n v="1.2"/>
    <x v="1"/>
  </r>
  <r>
    <x v="132"/>
    <x v="239"/>
    <x v="0"/>
    <x v="3"/>
    <x v="9"/>
    <x v="3"/>
    <x v="0"/>
    <x v="0"/>
    <n v="121"/>
    <n v="35"/>
    <n v="0.12"/>
    <x v="201"/>
    <x v="237"/>
    <n v="3219.57"/>
    <n v="1.1599999999999999"/>
    <x v="0"/>
  </r>
  <r>
    <x v="41"/>
    <x v="240"/>
    <x v="0"/>
    <x v="1"/>
    <x v="3"/>
    <x v="1"/>
    <x v="0"/>
    <x v="0"/>
    <n v="46"/>
    <n v="35"/>
    <n v="0.03"/>
    <x v="202"/>
    <x v="238"/>
    <n v="1360.91"/>
    <n v="1.1499999999999999"/>
    <x v="1"/>
  </r>
  <r>
    <x v="80"/>
    <x v="241"/>
    <x v="5"/>
    <x v="2"/>
    <x v="2"/>
    <x v="0"/>
    <x v="2"/>
    <x v="5"/>
    <n v="125"/>
    <n v="40"/>
    <n v="7.0000000000000007E-2"/>
    <x v="203"/>
    <x v="239"/>
    <n v="4322.28"/>
    <n v="1.08"/>
    <x v="1"/>
  </r>
  <r>
    <x v="86"/>
    <x v="242"/>
    <x v="2"/>
    <x v="3"/>
    <x v="10"/>
    <x v="2"/>
    <x v="1"/>
    <x v="3"/>
    <n v="90"/>
    <n v="120"/>
    <n v="0.13"/>
    <x v="33"/>
    <x v="240"/>
    <n v="8604.5400000000009"/>
    <n v="1.0900000000000001"/>
    <x v="1"/>
  </r>
  <r>
    <x v="133"/>
    <x v="243"/>
    <x v="4"/>
    <x v="1"/>
    <x v="3"/>
    <x v="3"/>
    <x v="0"/>
    <x v="0"/>
    <n v="11"/>
    <n v="35"/>
    <n v="0.11"/>
    <x v="204"/>
    <x v="241"/>
    <n v="325.73"/>
    <n v="1.05"/>
    <x v="0"/>
  </r>
  <r>
    <x v="77"/>
    <x v="244"/>
    <x v="3"/>
    <x v="3"/>
    <x v="5"/>
    <x v="5"/>
    <x v="2"/>
    <x v="4"/>
    <n v="96"/>
    <n v="30"/>
    <n v="0.06"/>
    <x v="119"/>
    <x v="242"/>
    <n v="2891.85"/>
    <n v="0.94"/>
    <x v="0"/>
  </r>
  <r>
    <x v="95"/>
    <x v="245"/>
    <x v="1"/>
    <x v="1"/>
    <x v="1"/>
    <x v="1"/>
    <x v="2"/>
    <x v="5"/>
    <n v="102"/>
    <n v="40"/>
    <n v="7.0000000000000007E-2"/>
    <x v="205"/>
    <x v="243"/>
    <n v="3523.75"/>
    <n v="1.08"/>
    <x v="0"/>
  </r>
  <r>
    <x v="134"/>
    <x v="246"/>
    <x v="3"/>
    <x v="1"/>
    <x v="3"/>
    <x v="1"/>
    <x v="2"/>
    <x v="4"/>
    <n v="162"/>
    <n v="30"/>
    <n v="0.14000000000000001"/>
    <x v="7"/>
    <x v="244"/>
    <n v="4096.5"/>
    <n v="1.02"/>
    <x v="1"/>
  </r>
  <r>
    <x v="135"/>
    <x v="247"/>
    <x v="4"/>
    <x v="3"/>
    <x v="9"/>
    <x v="5"/>
    <x v="2"/>
    <x v="4"/>
    <n v="38"/>
    <n v="30"/>
    <n v="0.05"/>
    <x v="206"/>
    <x v="245"/>
    <n v="1212.29"/>
    <n v="0.89"/>
    <x v="1"/>
  </r>
  <r>
    <x v="60"/>
    <x v="248"/>
    <x v="2"/>
    <x v="1"/>
    <x v="3"/>
    <x v="5"/>
    <x v="0"/>
    <x v="0"/>
    <n v="23"/>
    <n v="35"/>
    <n v="0.02"/>
    <x v="155"/>
    <x v="246"/>
    <n v="938.25"/>
    <n v="0.84"/>
    <x v="1"/>
  </r>
  <r>
    <x v="77"/>
    <x v="249"/>
    <x v="3"/>
    <x v="1"/>
    <x v="1"/>
    <x v="0"/>
    <x v="0"/>
    <x v="2"/>
    <n v="52"/>
    <n v="180"/>
    <n v="0.02"/>
    <x v="207"/>
    <x v="247"/>
    <n v="8315.83"/>
    <n v="1.1000000000000001"/>
    <x v="1"/>
  </r>
  <r>
    <x v="122"/>
    <x v="250"/>
    <x v="1"/>
    <x v="1"/>
    <x v="1"/>
    <x v="1"/>
    <x v="2"/>
    <x v="5"/>
    <n v="86"/>
    <n v="40"/>
    <n v="0.02"/>
    <x v="208"/>
    <x v="248"/>
    <n v="3332.8"/>
    <n v="1.01"/>
    <x v="0"/>
  </r>
  <r>
    <x v="136"/>
    <x v="251"/>
    <x v="4"/>
    <x v="2"/>
    <x v="4"/>
    <x v="1"/>
    <x v="1"/>
    <x v="1"/>
    <n v="111"/>
    <n v="250"/>
    <n v="0.01"/>
    <x v="209"/>
    <x v="249"/>
    <n v="28341.34"/>
    <n v="0.97"/>
    <x v="0"/>
  </r>
  <r>
    <x v="2"/>
    <x v="252"/>
    <x v="3"/>
    <x v="3"/>
    <x v="9"/>
    <x v="5"/>
    <x v="2"/>
    <x v="5"/>
    <n v="63"/>
    <n v="40"/>
    <n v="0.06"/>
    <x v="63"/>
    <x v="250"/>
    <n v="1940.69"/>
    <n v="1.22"/>
    <x v="0"/>
  </r>
  <r>
    <x v="97"/>
    <x v="253"/>
    <x v="0"/>
    <x v="3"/>
    <x v="10"/>
    <x v="5"/>
    <x v="2"/>
    <x v="4"/>
    <n v="141"/>
    <n v="30"/>
    <n v="0.01"/>
    <x v="59"/>
    <x v="251"/>
    <n v="4687.51"/>
    <n v="0.89"/>
    <x v="1"/>
  </r>
  <r>
    <x v="60"/>
    <x v="254"/>
    <x v="2"/>
    <x v="2"/>
    <x v="6"/>
    <x v="4"/>
    <x v="0"/>
    <x v="2"/>
    <n v="100"/>
    <n v="180"/>
    <n v="0.12"/>
    <x v="210"/>
    <x v="252"/>
    <n v="14398.88"/>
    <n v="1.1000000000000001"/>
    <x v="1"/>
  </r>
  <r>
    <x v="35"/>
    <x v="255"/>
    <x v="4"/>
    <x v="1"/>
    <x v="1"/>
    <x v="2"/>
    <x v="2"/>
    <x v="5"/>
    <n v="58"/>
    <n v="40"/>
    <n v="0.15"/>
    <x v="211"/>
    <x v="253"/>
    <n v="1869.59"/>
    <n v="1.05"/>
    <x v="1"/>
  </r>
  <r>
    <x v="52"/>
    <x v="256"/>
    <x v="2"/>
    <x v="3"/>
    <x v="9"/>
    <x v="3"/>
    <x v="0"/>
    <x v="0"/>
    <n v="25"/>
    <n v="35"/>
    <n v="0.13"/>
    <x v="212"/>
    <x v="254"/>
    <n v="613.16"/>
    <n v="1.24"/>
    <x v="1"/>
  </r>
  <r>
    <x v="40"/>
    <x v="257"/>
    <x v="1"/>
    <x v="0"/>
    <x v="7"/>
    <x v="3"/>
    <x v="0"/>
    <x v="0"/>
    <n v="58"/>
    <n v="35"/>
    <n v="0.05"/>
    <x v="213"/>
    <x v="255"/>
    <n v="2312.44"/>
    <n v="0.83"/>
    <x v="0"/>
  </r>
  <r>
    <x v="137"/>
    <x v="258"/>
    <x v="1"/>
    <x v="0"/>
    <x v="7"/>
    <x v="2"/>
    <x v="2"/>
    <x v="5"/>
    <n v="69"/>
    <n v="40"/>
    <n v="0.1"/>
    <x v="122"/>
    <x v="256"/>
    <n v="2056.64"/>
    <n v="1.21"/>
    <x v="1"/>
  </r>
  <r>
    <x v="66"/>
    <x v="259"/>
    <x v="4"/>
    <x v="1"/>
    <x v="1"/>
    <x v="5"/>
    <x v="1"/>
    <x v="3"/>
    <n v="171"/>
    <n v="120"/>
    <n v="0.05"/>
    <x v="214"/>
    <x v="257"/>
    <n v="15858.66"/>
    <n v="1.23"/>
    <x v="0"/>
  </r>
  <r>
    <x v="31"/>
    <x v="260"/>
    <x v="0"/>
    <x v="0"/>
    <x v="0"/>
    <x v="2"/>
    <x v="2"/>
    <x v="5"/>
    <n v="121"/>
    <n v="40"/>
    <n v="0.12"/>
    <x v="215"/>
    <x v="258"/>
    <n v="4911.2700000000004"/>
    <n v="0.87"/>
    <x v="1"/>
  </r>
  <r>
    <x v="100"/>
    <x v="261"/>
    <x v="0"/>
    <x v="2"/>
    <x v="6"/>
    <x v="3"/>
    <x v="1"/>
    <x v="1"/>
    <n v="72"/>
    <n v="250"/>
    <n v="0.11"/>
    <x v="210"/>
    <x v="259"/>
    <n v="15606.31"/>
    <n v="1.03"/>
    <x v="1"/>
  </r>
  <r>
    <x v="109"/>
    <x v="262"/>
    <x v="1"/>
    <x v="3"/>
    <x v="5"/>
    <x v="2"/>
    <x v="0"/>
    <x v="0"/>
    <n v="133"/>
    <n v="35"/>
    <n v="0.13"/>
    <x v="216"/>
    <x v="260"/>
    <n v="4037.05"/>
    <n v="1"/>
    <x v="1"/>
  </r>
  <r>
    <x v="138"/>
    <x v="263"/>
    <x v="1"/>
    <x v="0"/>
    <x v="7"/>
    <x v="0"/>
    <x v="2"/>
    <x v="4"/>
    <n v="192"/>
    <n v="30"/>
    <n v="0.14000000000000001"/>
    <x v="78"/>
    <x v="261"/>
    <n v="4425.3900000000003"/>
    <n v="1.1200000000000001"/>
    <x v="0"/>
  </r>
  <r>
    <x v="76"/>
    <x v="264"/>
    <x v="0"/>
    <x v="1"/>
    <x v="3"/>
    <x v="5"/>
    <x v="1"/>
    <x v="1"/>
    <n v="138"/>
    <n v="250"/>
    <n v="0.11"/>
    <x v="38"/>
    <x v="262"/>
    <n v="35162.21"/>
    <n v="0.87"/>
    <x v="0"/>
  </r>
  <r>
    <x v="10"/>
    <x v="265"/>
    <x v="4"/>
    <x v="1"/>
    <x v="3"/>
    <x v="3"/>
    <x v="2"/>
    <x v="4"/>
    <n v="183"/>
    <n v="30"/>
    <n v="0.01"/>
    <x v="217"/>
    <x v="263"/>
    <n v="4359.58"/>
    <n v="1.25"/>
    <x v="0"/>
  </r>
  <r>
    <x v="37"/>
    <x v="266"/>
    <x v="2"/>
    <x v="0"/>
    <x v="7"/>
    <x v="2"/>
    <x v="2"/>
    <x v="5"/>
    <n v="194"/>
    <n v="40"/>
    <n v="0.09"/>
    <x v="218"/>
    <x v="264"/>
    <n v="8397.5"/>
    <n v="0.84"/>
    <x v="1"/>
  </r>
  <r>
    <x v="101"/>
    <x v="267"/>
    <x v="5"/>
    <x v="2"/>
    <x v="4"/>
    <x v="4"/>
    <x v="1"/>
    <x v="1"/>
    <n v="74"/>
    <n v="250"/>
    <n v="0.1"/>
    <x v="219"/>
    <x v="265"/>
    <n v="13399.48"/>
    <n v="1.24"/>
    <x v="1"/>
  </r>
  <r>
    <x v="139"/>
    <x v="268"/>
    <x v="2"/>
    <x v="2"/>
    <x v="8"/>
    <x v="3"/>
    <x v="1"/>
    <x v="3"/>
    <n v="118"/>
    <n v="120"/>
    <n v="0.04"/>
    <x v="9"/>
    <x v="266"/>
    <n v="14774.48"/>
    <n v="0.92"/>
    <x v="1"/>
  </r>
  <r>
    <x v="140"/>
    <x v="269"/>
    <x v="5"/>
    <x v="0"/>
    <x v="0"/>
    <x v="1"/>
    <x v="1"/>
    <x v="1"/>
    <n v="68"/>
    <n v="250"/>
    <n v="0.02"/>
    <x v="220"/>
    <x v="267"/>
    <n v="17490.5"/>
    <n v="0.95"/>
    <x v="1"/>
  </r>
  <r>
    <x v="51"/>
    <x v="270"/>
    <x v="1"/>
    <x v="2"/>
    <x v="8"/>
    <x v="4"/>
    <x v="2"/>
    <x v="5"/>
    <n v="169"/>
    <n v="40"/>
    <n v="0.05"/>
    <x v="221"/>
    <x v="268"/>
    <n v="6143.22"/>
    <n v="1.05"/>
    <x v="1"/>
  </r>
  <r>
    <x v="13"/>
    <x v="271"/>
    <x v="1"/>
    <x v="0"/>
    <x v="7"/>
    <x v="3"/>
    <x v="0"/>
    <x v="0"/>
    <n v="39"/>
    <n v="35"/>
    <n v="0.05"/>
    <x v="35"/>
    <x v="269"/>
    <n v="1304.51"/>
    <n v="0.99"/>
    <x v="0"/>
  </r>
  <r>
    <x v="36"/>
    <x v="272"/>
    <x v="3"/>
    <x v="2"/>
    <x v="6"/>
    <x v="4"/>
    <x v="2"/>
    <x v="5"/>
    <n v="153"/>
    <n v="40"/>
    <n v="0.04"/>
    <x v="222"/>
    <x v="270"/>
    <n v="5898.65"/>
    <n v="1"/>
    <x v="1"/>
  </r>
  <r>
    <x v="37"/>
    <x v="273"/>
    <x v="4"/>
    <x v="2"/>
    <x v="4"/>
    <x v="3"/>
    <x v="2"/>
    <x v="5"/>
    <n v="100"/>
    <n v="40"/>
    <n v="0.12"/>
    <x v="223"/>
    <x v="271"/>
    <n v="2967.7"/>
    <n v="1.19"/>
    <x v="1"/>
  </r>
  <r>
    <x v="121"/>
    <x v="274"/>
    <x v="4"/>
    <x v="3"/>
    <x v="10"/>
    <x v="4"/>
    <x v="0"/>
    <x v="0"/>
    <n v="185"/>
    <n v="35"/>
    <n v="0.13"/>
    <x v="224"/>
    <x v="272"/>
    <n v="4891.29"/>
    <n v="1.1499999999999999"/>
    <x v="1"/>
  </r>
  <r>
    <x v="93"/>
    <x v="275"/>
    <x v="5"/>
    <x v="3"/>
    <x v="9"/>
    <x v="4"/>
    <x v="1"/>
    <x v="1"/>
    <n v="74"/>
    <n v="250"/>
    <n v="0.04"/>
    <x v="219"/>
    <x v="273"/>
    <n v="19592.7"/>
    <n v="0.91"/>
    <x v="0"/>
  </r>
  <r>
    <x v="88"/>
    <x v="276"/>
    <x v="4"/>
    <x v="1"/>
    <x v="1"/>
    <x v="3"/>
    <x v="1"/>
    <x v="1"/>
    <n v="85"/>
    <n v="250"/>
    <n v="0.04"/>
    <x v="225"/>
    <x v="274"/>
    <n v="18921.7"/>
    <n v="1.08"/>
    <x v="0"/>
  </r>
  <r>
    <x v="141"/>
    <x v="277"/>
    <x v="0"/>
    <x v="3"/>
    <x v="5"/>
    <x v="5"/>
    <x v="2"/>
    <x v="5"/>
    <n v="87"/>
    <n v="40"/>
    <n v="0.09"/>
    <x v="97"/>
    <x v="101"/>
    <n v="3747.79"/>
    <n v="0.84"/>
    <x v="1"/>
  </r>
  <r>
    <x v="142"/>
    <x v="278"/>
    <x v="3"/>
    <x v="3"/>
    <x v="5"/>
    <x v="2"/>
    <x v="0"/>
    <x v="0"/>
    <n v="32"/>
    <n v="35"/>
    <n v="0.02"/>
    <x v="184"/>
    <x v="275"/>
    <n v="1042.57"/>
    <n v="1.05"/>
    <x v="1"/>
  </r>
  <r>
    <x v="112"/>
    <x v="279"/>
    <x v="0"/>
    <x v="1"/>
    <x v="3"/>
    <x v="0"/>
    <x v="2"/>
    <x v="5"/>
    <n v="67"/>
    <n v="40"/>
    <n v="0.01"/>
    <x v="226"/>
    <x v="276"/>
    <n v="2908.03"/>
    <n v="0.91"/>
    <x v="1"/>
  </r>
  <r>
    <x v="35"/>
    <x v="280"/>
    <x v="0"/>
    <x v="3"/>
    <x v="10"/>
    <x v="4"/>
    <x v="2"/>
    <x v="4"/>
    <n v="136"/>
    <n v="30"/>
    <n v="0.04"/>
    <x v="205"/>
    <x v="277"/>
    <n v="3938.49"/>
    <n v="0.99"/>
    <x v="0"/>
  </r>
  <r>
    <x v="143"/>
    <x v="281"/>
    <x v="4"/>
    <x v="0"/>
    <x v="7"/>
    <x v="5"/>
    <x v="0"/>
    <x v="2"/>
    <n v="68"/>
    <n v="180"/>
    <n v="7.0000000000000007E-2"/>
    <x v="227"/>
    <x v="278"/>
    <n v="10717.04"/>
    <n v="1.06"/>
    <x v="1"/>
  </r>
  <r>
    <x v="51"/>
    <x v="282"/>
    <x v="0"/>
    <x v="0"/>
    <x v="0"/>
    <x v="1"/>
    <x v="1"/>
    <x v="3"/>
    <n v="165"/>
    <n v="120"/>
    <n v="0.12"/>
    <x v="228"/>
    <x v="279"/>
    <n v="19798.47"/>
    <n v="0.88"/>
    <x v="0"/>
  </r>
  <r>
    <x v="71"/>
    <x v="283"/>
    <x v="5"/>
    <x v="0"/>
    <x v="7"/>
    <x v="5"/>
    <x v="2"/>
    <x v="5"/>
    <n v="185"/>
    <n v="40"/>
    <n v="0.01"/>
    <x v="229"/>
    <x v="280"/>
    <n v="6985.11"/>
    <n v="1.05"/>
    <x v="0"/>
  </r>
  <r>
    <x v="114"/>
    <x v="284"/>
    <x v="4"/>
    <x v="1"/>
    <x v="1"/>
    <x v="5"/>
    <x v="0"/>
    <x v="0"/>
    <n v="41"/>
    <n v="35"/>
    <n v="0.14000000000000001"/>
    <x v="230"/>
    <x v="281"/>
    <n v="1471.34"/>
    <n v="0.84"/>
    <x v="0"/>
  </r>
  <r>
    <x v="90"/>
    <x v="285"/>
    <x v="5"/>
    <x v="2"/>
    <x v="4"/>
    <x v="4"/>
    <x v="1"/>
    <x v="3"/>
    <n v="32"/>
    <n v="120"/>
    <n v="0"/>
    <x v="231"/>
    <x v="282"/>
    <n v="4480.96"/>
    <n v="0.86"/>
    <x v="1"/>
  </r>
  <r>
    <x v="144"/>
    <x v="286"/>
    <x v="4"/>
    <x v="1"/>
    <x v="3"/>
    <x v="5"/>
    <x v="2"/>
    <x v="4"/>
    <n v="8"/>
    <n v="30"/>
    <n v="0.04"/>
    <x v="115"/>
    <x v="283"/>
    <n v="228.19"/>
    <n v="1.01"/>
    <x v="1"/>
  </r>
  <r>
    <x v="0"/>
    <x v="287"/>
    <x v="0"/>
    <x v="1"/>
    <x v="3"/>
    <x v="4"/>
    <x v="2"/>
    <x v="4"/>
    <n v="182"/>
    <n v="30"/>
    <n v="0.09"/>
    <x v="232"/>
    <x v="284"/>
    <n v="4970.9799999999996"/>
    <n v="1"/>
    <x v="0"/>
  </r>
  <r>
    <x v="6"/>
    <x v="288"/>
    <x v="1"/>
    <x v="0"/>
    <x v="7"/>
    <x v="5"/>
    <x v="0"/>
    <x v="2"/>
    <n v="183"/>
    <n v="180"/>
    <n v="0.13"/>
    <x v="233"/>
    <x v="285"/>
    <n v="24244.68"/>
    <n v="1.18"/>
    <x v="0"/>
  </r>
  <r>
    <x v="24"/>
    <x v="289"/>
    <x v="5"/>
    <x v="1"/>
    <x v="1"/>
    <x v="2"/>
    <x v="2"/>
    <x v="4"/>
    <n v="163"/>
    <n v="30"/>
    <n v="0.12"/>
    <x v="234"/>
    <x v="286"/>
    <n v="3683.01"/>
    <n v="1.17"/>
    <x v="0"/>
  </r>
  <r>
    <x v="86"/>
    <x v="290"/>
    <x v="0"/>
    <x v="1"/>
    <x v="1"/>
    <x v="1"/>
    <x v="0"/>
    <x v="2"/>
    <n v="192"/>
    <n v="180"/>
    <n v="0.03"/>
    <x v="235"/>
    <x v="287"/>
    <n v="36191.24"/>
    <n v="0.93"/>
    <x v="0"/>
  </r>
  <r>
    <x v="145"/>
    <x v="291"/>
    <x v="5"/>
    <x v="3"/>
    <x v="10"/>
    <x v="2"/>
    <x v="2"/>
    <x v="5"/>
    <n v="33"/>
    <n v="40"/>
    <n v="0.12"/>
    <x v="86"/>
    <x v="288"/>
    <n v="1222.76"/>
    <n v="0.95"/>
    <x v="1"/>
  </r>
  <r>
    <x v="112"/>
    <x v="292"/>
    <x v="2"/>
    <x v="3"/>
    <x v="5"/>
    <x v="1"/>
    <x v="2"/>
    <x v="4"/>
    <n v="70"/>
    <n v="30"/>
    <n v="0.13"/>
    <x v="45"/>
    <x v="289"/>
    <n v="2144.7600000000002"/>
    <n v="0.85"/>
    <x v="0"/>
  </r>
  <r>
    <x v="146"/>
    <x v="293"/>
    <x v="4"/>
    <x v="3"/>
    <x v="5"/>
    <x v="1"/>
    <x v="0"/>
    <x v="0"/>
    <n v="171"/>
    <n v="35"/>
    <n v="0.11"/>
    <x v="236"/>
    <x v="290"/>
    <n v="4487.87"/>
    <n v="1.19"/>
    <x v="0"/>
  </r>
  <r>
    <x v="147"/>
    <x v="294"/>
    <x v="3"/>
    <x v="2"/>
    <x v="2"/>
    <x v="5"/>
    <x v="0"/>
    <x v="2"/>
    <n v="34"/>
    <n v="180"/>
    <n v="0"/>
    <x v="222"/>
    <x v="291"/>
    <n v="5173.68"/>
    <n v="1.18"/>
    <x v="0"/>
  </r>
  <r>
    <x v="148"/>
    <x v="295"/>
    <x v="5"/>
    <x v="0"/>
    <x v="7"/>
    <x v="1"/>
    <x v="0"/>
    <x v="0"/>
    <n v="122"/>
    <n v="35"/>
    <n v="0.04"/>
    <x v="237"/>
    <x v="292"/>
    <n v="4633.12"/>
    <n v="0.88"/>
    <x v="0"/>
  </r>
  <r>
    <x v="69"/>
    <x v="296"/>
    <x v="1"/>
    <x v="1"/>
    <x v="3"/>
    <x v="1"/>
    <x v="2"/>
    <x v="5"/>
    <n v="145"/>
    <n v="40"/>
    <n v="0.11"/>
    <x v="159"/>
    <x v="293"/>
    <n v="4694.55"/>
    <n v="1.1000000000000001"/>
    <x v="1"/>
  </r>
  <r>
    <x v="117"/>
    <x v="297"/>
    <x v="2"/>
    <x v="3"/>
    <x v="5"/>
    <x v="1"/>
    <x v="1"/>
    <x v="3"/>
    <n v="99"/>
    <n v="120"/>
    <n v="0.02"/>
    <x v="238"/>
    <x v="294"/>
    <n v="12974.68"/>
    <n v="0.9"/>
    <x v="0"/>
  </r>
  <r>
    <x v="45"/>
    <x v="298"/>
    <x v="2"/>
    <x v="2"/>
    <x v="4"/>
    <x v="2"/>
    <x v="0"/>
    <x v="2"/>
    <n v="10"/>
    <n v="180"/>
    <n v="0.03"/>
    <x v="31"/>
    <x v="295"/>
    <n v="1673.41"/>
    <n v="1.04"/>
    <x v="0"/>
  </r>
  <r>
    <x v="38"/>
    <x v="299"/>
    <x v="0"/>
    <x v="2"/>
    <x v="6"/>
    <x v="0"/>
    <x v="2"/>
    <x v="4"/>
    <n v="86"/>
    <n v="30"/>
    <n v="0.02"/>
    <x v="239"/>
    <x v="296"/>
    <n v="2918.96"/>
    <n v="0.87"/>
    <x v="0"/>
  </r>
  <r>
    <x v="149"/>
    <x v="300"/>
    <x v="1"/>
    <x v="1"/>
    <x v="1"/>
    <x v="1"/>
    <x v="0"/>
    <x v="0"/>
    <n v="200"/>
    <n v="35"/>
    <n v="0.11"/>
    <x v="15"/>
    <x v="297"/>
    <n v="7159.61"/>
    <n v="0.87"/>
    <x v="0"/>
  </r>
  <r>
    <x v="150"/>
    <x v="301"/>
    <x v="4"/>
    <x v="3"/>
    <x v="5"/>
    <x v="0"/>
    <x v="2"/>
    <x v="5"/>
    <n v="125"/>
    <n v="40"/>
    <n v="0.03"/>
    <x v="203"/>
    <x v="298"/>
    <n v="4677.91"/>
    <n v="1.04"/>
    <x v="0"/>
  </r>
  <r>
    <x v="111"/>
    <x v="302"/>
    <x v="0"/>
    <x v="1"/>
    <x v="3"/>
    <x v="3"/>
    <x v="1"/>
    <x v="3"/>
    <n v="25"/>
    <n v="120"/>
    <n v="0.05"/>
    <x v="102"/>
    <x v="299"/>
    <n v="3058.79"/>
    <n v="0.93"/>
    <x v="1"/>
  </r>
  <r>
    <x v="115"/>
    <x v="303"/>
    <x v="1"/>
    <x v="0"/>
    <x v="7"/>
    <x v="3"/>
    <x v="1"/>
    <x v="1"/>
    <n v="118"/>
    <n v="250"/>
    <n v="0.05"/>
    <x v="240"/>
    <x v="300"/>
    <n v="28674.77"/>
    <n v="0.98"/>
    <x v="0"/>
  </r>
  <r>
    <x v="140"/>
    <x v="304"/>
    <x v="3"/>
    <x v="1"/>
    <x v="1"/>
    <x v="5"/>
    <x v="0"/>
    <x v="0"/>
    <n v="11"/>
    <n v="35"/>
    <n v="0.13"/>
    <x v="204"/>
    <x v="301"/>
    <n v="369.93"/>
    <n v="0.91"/>
    <x v="1"/>
  </r>
  <r>
    <x v="124"/>
    <x v="305"/>
    <x v="0"/>
    <x v="2"/>
    <x v="2"/>
    <x v="2"/>
    <x v="0"/>
    <x v="2"/>
    <n v="59"/>
    <n v="180"/>
    <n v="0.09"/>
    <x v="241"/>
    <x v="302"/>
    <n v="10765.56"/>
    <n v="0.9"/>
    <x v="0"/>
  </r>
  <r>
    <x v="151"/>
    <x v="306"/>
    <x v="2"/>
    <x v="0"/>
    <x v="0"/>
    <x v="0"/>
    <x v="0"/>
    <x v="0"/>
    <n v="45"/>
    <n v="35"/>
    <n v="0.14000000000000001"/>
    <x v="242"/>
    <x v="303"/>
    <n v="1340.56"/>
    <n v="1.01"/>
    <x v="0"/>
  </r>
  <r>
    <x v="4"/>
    <x v="307"/>
    <x v="1"/>
    <x v="2"/>
    <x v="6"/>
    <x v="1"/>
    <x v="2"/>
    <x v="4"/>
    <n v="161"/>
    <n v="30"/>
    <n v="7.0000000000000007E-2"/>
    <x v="243"/>
    <x v="304"/>
    <n v="4457.6000000000004"/>
    <n v="1.01"/>
    <x v="0"/>
  </r>
  <r>
    <x v="85"/>
    <x v="308"/>
    <x v="0"/>
    <x v="3"/>
    <x v="10"/>
    <x v="0"/>
    <x v="0"/>
    <x v="2"/>
    <n v="50"/>
    <n v="180"/>
    <n v="0.11"/>
    <x v="1"/>
    <x v="305"/>
    <n v="8554.2900000000009"/>
    <n v="0.94"/>
    <x v="1"/>
  </r>
  <r>
    <x v="84"/>
    <x v="309"/>
    <x v="4"/>
    <x v="0"/>
    <x v="7"/>
    <x v="0"/>
    <x v="0"/>
    <x v="2"/>
    <n v="191"/>
    <n v="180"/>
    <n v="0.12"/>
    <x v="244"/>
    <x v="306"/>
    <n v="31781.72"/>
    <n v="0.95"/>
    <x v="0"/>
  </r>
  <r>
    <x v="71"/>
    <x v="310"/>
    <x v="4"/>
    <x v="1"/>
    <x v="3"/>
    <x v="0"/>
    <x v="0"/>
    <x v="2"/>
    <n v="114"/>
    <n v="180"/>
    <n v="0.09"/>
    <x v="214"/>
    <x v="307"/>
    <n v="17756.919999999998"/>
    <n v="1.05"/>
    <x v="1"/>
  </r>
  <r>
    <x v="18"/>
    <x v="311"/>
    <x v="5"/>
    <x v="0"/>
    <x v="7"/>
    <x v="0"/>
    <x v="1"/>
    <x v="3"/>
    <n v="24"/>
    <n v="120"/>
    <n v="0.14000000000000001"/>
    <x v="119"/>
    <x v="308"/>
    <n v="2140.54"/>
    <n v="1.1599999999999999"/>
    <x v="1"/>
  </r>
  <r>
    <x v="126"/>
    <x v="312"/>
    <x v="0"/>
    <x v="3"/>
    <x v="10"/>
    <x v="2"/>
    <x v="1"/>
    <x v="1"/>
    <n v="155"/>
    <n v="250"/>
    <n v="0.06"/>
    <x v="245"/>
    <x v="309"/>
    <n v="40951.089999999997"/>
    <n v="0.89"/>
    <x v="1"/>
  </r>
  <r>
    <x v="152"/>
    <x v="313"/>
    <x v="4"/>
    <x v="0"/>
    <x v="7"/>
    <x v="0"/>
    <x v="0"/>
    <x v="0"/>
    <n v="12"/>
    <n v="35"/>
    <n v="0.09"/>
    <x v="246"/>
    <x v="310"/>
    <n v="374.88"/>
    <n v="1.02"/>
    <x v="1"/>
  </r>
  <r>
    <x v="28"/>
    <x v="314"/>
    <x v="2"/>
    <x v="1"/>
    <x v="1"/>
    <x v="0"/>
    <x v="1"/>
    <x v="3"/>
    <n v="134"/>
    <n v="120"/>
    <n v="0.12"/>
    <x v="247"/>
    <x v="311"/>
    <n v="13377.25"/>
    <n v="1.06"/>
    <x v="0"/>
  </r>
  <r>
    <x v="102"/>
    <x v="315"/>
    <x v="4"/>
    <x v="0"/>
    <x v="0"/>
    <x v="2"/>
    <x v="1"/>
    <x v="1"/>
    <n v="61"/>
    <n v="250"/>
    <n v="0.14000000000000001"/>
    <x v="248"/>
    <x v="312"/>
    <n v="13748.92"/>
    <n v="0.95"/>
    <x v="1"/>
  </r>
  <r>
    <x v="137"/>
    <x v="316"/>
    <x v="5"/>
    <x v="1"/>
    <x v="3"/>
    <x v="1"/>
    <x v="0"/>
    <x v="0"/>
    <n v="141"/>
    <n v="35"/>
    <n v="0.03"/>
    <x v="249"/>
    <x v="313"/>
    <n v="4670.5200000000004"/>
    <n v="1.02"/>
    <x v="1"/>
  </r>
  <r>
    <x v="95"/>
    <x v="317"/>
    <x v="4"/>
    <x v="0"/>
    <x v="0"/>
    <x v="2"/>
    <x v="1"/>
    <x v="3"/>
    <n v="120"/>
    <n v="120"/>
    <n v="0.14000000000000001"/>
    <x v="250"/>
    <x v="314"/>
    <n v="13079.62"/>
    <n v="0.95"/>
    <x v="1"/>
  </r>
  <r>
    <x v="153"/>
    <x v="318"/>
    <x v="2"/>
    <x v="2"/>
    <x v="2"/>
    <x v="4"/>
    <x v="1"/>
    <x v="3"/>
    <n v="163"/>
    <n v="120"/>
    <n v="0.06"/>
    <x v="251"/>
    <x v="315"/>
    <n v="15669.75"/>
    <n v="1.17"/>
    <x v="1"/>
  </r>
  <r>
    <x v="154"/>
    <x v="319"/>
    <x v="5"/>
    <x v="3"/>
    <x v="9"/>
    <x v="5"/>
    <x v="0"/>
    <x v="2"/>
    <n v="111"/>
    <n v="180"/>
    <n v="0.05"/>
    <x v="252"/>
    <x v="316"/>
    <n v="16137.15"/>
    <n v="1.18"/>
    <x v="0"/>
  </r>
  <r>
    <x v="55"/>
    <x v="320"/>
    <x v="1"/>
    <x v="1"/>
    <x v="1"/>
    <x v="3"/>
    <x v="2"/>
    <x v="5"/>
    <n v="19"/>
    <n v="40"/>
    <n v="0.09"/>
    <x v="253"/>
    <x v="317"/>
    <n v="589.48"/>
    <n v="1.17"/>
    <x v="1"/>
  </r>
  <r>
    <x v="88"/>
    <x v="321"/>
    <x v="2"/>
    <x v="2"/>
    <x v="2"/>
    <x v="0"/>
    <x v="1"/>
    <x v="1"/>
    <n v="18"/>
    <n v="250"/>
    <n v="0.09"/>
    <x v="254"/>
    <x v="318"/>
    <n v="3454.33"/>
    <n v="1.19"/>
    <x v="1"/>
  </r>
  <r>
    <x v="117"/>
    <x v="322"/>
    <x v="0"/>
    <x v="1"/>
    <x v="3"/>
    <x v="3"/>
    <x v="0"/>
    <x v="2"/>
    <n v="186"/>
    <n v="180"/>
    <n v="0.14000000000000001"/>
    <x v="255"/>
    <x v="319"/>
    <n v="33046.910000000003"/>
    <n v="0.87"/>
    <x v="0"/>
  </r>
  <r>
    <x v="14"/>
    <x v="323"/>
    <x v="0"/>
    <x v="0"/>
    <x v="0"/>
    <x v="3"/>
    <x v="0"/>
    <x v="2"/>
    <n v="148"/>
    <n v="180"/>
    <n v="0"/>
    <x v="256"/>
    <x v="320"/>
    <n v="23821.4"/>
    <n v="1.1200000000000001"/>
    <x v="0"/>
  </r>
  <r>
    <x v="45"/>
    <x v="324"/>
    <x v="3"/>
    <x v="2"/>
    <x v="4"/>
    <x v="5"/>
    <x v="0"/>
    <x v="0"/>
    <n v="100"/>
    <n v="35"/>
    <n v="0.12"/>
    <x v="257"/>
    <x v="321"/>
    <n v="3207.94"/>
    <n v="0.96"/>
    <x v="0"/>
  </r>
  <r>
    <x v="52"/>
    <x v="325"/>
    <x v="3"/>
    <x v="3"/>
    <x v="9"/>
    <x v="1"/>
    <x v="1"/>
    <x v="3"/>
    <n v="46"/>
    <n v="120"/>
    <n v="0.09"/>
    <x v="103"/>
    <x v="322"/>
    <n v="4578.01"/>
    <n v="1.1000000000000001"/>
    <x v="1"/>
  </r>
  <r>
    <x v="141"/>
    <x v="326"/>
    <x v="5"/>
    <x v="3"/>
    <x v="5"/>
    <x v="2"/>
    <x v="1"/>
    <x v="1"/>
    <n v="175"/>
    <n v="250"/>
    <n v="0.06"/>
    <x v="258"/>
    <x v="323"/>
    <n v="41547.57"/>
    <n v="0.99"/>
    <x v="0"/>
  </r>
  <r>
    <x v="37"/>
    <x v="327"/>
    <x v="4"/>
    <x v="1"/>
    <x v="3"/>
    <x v="3"/>
    <x v="0"/>
    <x v="0"/>
    <n v="198"/>
    <n v="35"/>
    <n v="0.08"/>
    <x v="259"/>
    <x v="324"/>
    <n v="6179.39"/>
    <n v="1.03"/>
    <x v="1"/>
  </r>
  <r>
    <x v="43"/>
    <x v="328"/>
    <x v="0"/>
    <x v="3"/>
    <x v="9"/>
    <x v="5"/>
    <x v="0"/>
    <x v="2"/>
    <n v="17"/>
    <n v="180"/>
    <n v="0.09"/>
    <x v="260"/>
    <x v="325"/>
    <n v="2359.48"/>
    <n v="1.18"/>
    <x v="1"/>
  </r>
  <r>
    <x v="70"/>
    <x v="329"/>
    <x v="1"/>
    <x v="2"/>
    <x v="6"/>
    <x v="1"/>
    <x v="1"/>
    <x v="1"/>
    <n v="18"/>
    <n v="250"/>
    <n v="0.13"/>
    <x v="254"/>
    <x v="326"/>
    <n v="4096.25"/>
    <n v="0.96"/>
    <x v="1"/>
  </r>
  <r>
    <x v="118"/>
    <x v="330"/>
    <x v="2"/>
    <x v="1"/>
    <x v="3"/>
    <x v="2"/>
    <x v="1"/>
    <x v="3"/>
    <n v="191"/>
    <n v="120"/>
    <n v="0.01"/>
    <x v="261"/>
    <x v="327"/>
    <n v="27077.08"/>
    <n v="0.84"/>
    <x v="1"/>
  </r>
  <r>
    <x v="31"/>
    <x v="331"/>
    <x v="4"/>
    <x v="2"/>
    <x v="4"/>
    <x v="0"/>
    <x v="2"/>
    <x v="4"/>
    <n v="20"/>
    <n v="30"/>
    <n v="0.06"/>
    <x v="185"/>
    <x v="328"/>
    <n v="468.68"/>
    <n v="1.2"/>
    <x v="1"/>
  </r>
  <r>
    <x v="121"/>
    <x v="332"/>
    <x v="2"/>
    <x v="1"/>
    <x v="1"/>
    <x v="5"/>
    <x v="1"/>
    <x v="1"/>
    <n v="123"/>
    <n v="250"/>
    <n v="0.01"/>
    <x v="262"/>
    <x v="329"/>
    <n v="30061.8"/>
    <n v="1.01"/>
    <x v="0"/>
  </r>
  <r>
    <x v="136"/>
    <x v="333"/>
    <x v="2"/>
    <x v="3"/>
    <x v="10"/>
    <x v="1"/>
    <x v="1"/>
    <x v="1"/>
    <n v="78"/>
    <n v="250"/>
    <n v="0.08"/>
    <x v="197"/>
    <x v="330"/>
    <n v="17497.61"/>
    <n v="1.03"/>
    <x v="1"/>
  </r>
  <r>
    <x v="63"/>
    <x v="334"/>
    <x v="1"/>
    <x v="3"/>
    <x v="10"/>
    <x v="1"/>
    <x v="0"/>
    <x v="0"/>
    <n v="195"/>
    <n v="35"/>
    <n v="0.04"/>
    <x v="263"/>
    <x v="331"/>
    <n v="7409.89"/>
    <n v="0.88"/>
    <x v="0"/>
  </r>
  <r>
    <x v="95"/>
    <x v="335"/>
    <x v="2"/>
    <x v="2"/>
    <x v="2"/>
    <x v="2"/>
    <x v="0"/>
    <x v="2"/>
    <n v="55"/>
    <n v="180"/>
    <n v="0.13"/>
    <x v="264"/>
    <x v="332"/>
    <n v="7002.23"/>
    <n v="1.23"/>
    <x v="0"/>
  </r>
  <r>
    <x v="123"/>
    <x v="336"/>
    <x v="3"/>
    <x v="3"/>
    <x v="10"/>
    <x v="2"/>
    <x v="0"/>
    <x v="0"/>
    <n v="133"/>
    <n v="35"/>
    <n v="0.01"/>
    <x v="216"/>
    <x v="333"/>
    <n v="5401.53"/>
    <n v="0.85"/>
    <x v="1"/>
  </r>
  <r>
    <x v="79"/>
    <x v="337"/>
    <x v="3"/>
    <x v="1"/>
    <x v="1"/>
    <x v="1"/>
    <x v="0"/>
    <x v="0"/>
    <n v="63"/>
    <n v="35"/>
    <n v="0.03"/>
    <x v="265"/>
    <x v="334"/>
    <n v="2059.11"/>
    <n v="1.04"/>
    <x v="0"/>
  </r>
  <r>
    <x v="155"/>
    <x v="338"/>
    <x v="2"/>
    <x v="0"/>
    <x v="7"/>
    <x v="4"/>
    <x v="1"/>
    <x v="3"/>
    <n v="16"/>
    <n v="120"/>
    <n v="0"/>
    <x v="163"/>
    <x v="335"/>
    <n v="1911.22"/>
    <n v="1"/>
    <x v="1"/>
  </r>
  <r>
    <x v="126"/>
    <x v="339"/>
    <x v="2"/>
    <x v="0"/>
    <x v="7"/>
    <x v="4"/>
    <x v="2"/>
    <x v="5"/>
    <n v="115"/>
    <n v="40"/>
    <n v="0.04"/>
    <x v="266"/>
    <x v="336"/>
    <n v="4740.4799999999996"/>
    <n v="0.93"/>
    <x v="1"/>
  </r>
  <r>
    <x v="154"/>
    <x v="340"/>
    <x v="4"/>
    <x v="3"/>
    <x v="10"/>
    <x v="3"/>
    <x v="2"/>
    <x v="5"/>
    <n v="172"/>
    <n v="40"/>
    <n v="0.01"/>
    <x v="267"/>
    <x v="337"/>
    <n v="7850.93"/>
    <n v="0.87"/>
    <x v="0"/>
  </r>
  <r>
    <x v="26"/>
    <x v="341"/>
    <x v="3"/>
    <x v="1"/>
    <x v="3"/>
    <x v="4"/>
    <x v="1"/>
    <x v="1"/>
    <n v="11"/>
    <n v="250"/>
    <n v="0.09"/>
    <x v="142"/>
    <x v="338"/>
    <n v="2867.65"/>
    <n v="0.87"/>
    <x v="0"/>
  </r>
  <r>
    <x v="156"/>
    <x v="342"/>
    <x v="0"/>
    <x v="3"/>
    <x v="5"/>
    <x v="2"/>
    <x v="1"/>
    <x v="1"/>
    <n v="18"/>
    <n v="250"/>
    <n v="0.01"/>
    <x v="254"/>
    <x v="339"/>
    <n v="5076.16"/>
    <n v="0.88"/>
    <x v="1"/>
  </r>
  <r>
    <x v="94"/>
    <x v="343"/>
    <x v="4"/>
    <x v="2"/>
    <x v="8"/>
    <x v="1"/>
    <x v="0"/>
    <x v="2"/>
    <n v="63"/>
    <n v="180"/>
    <n v="7.0000000000000007E-2"/>
    <x v="95"/>
    <x v="340"/>
    <n v="11808.32"/>
    <n v="0.89"/>
    <x v="1"/>
  </r>
  <r>
    <x v="126"/>
    <x v="344"/>
    <x v="4"/>
    <x v="0"/>
    <x v="7"/>
    <x v="1"/>
    <x v="1"/>
    <x v="3"/>
    <n v="164"/>
    <n v="120"/>
    <n v="0.03"/>
    <x v="268"/>
    <x v="341"/>
    <n v="22340.78"/>
    <n v="0.85"/>
    <x v="0"/>
  </r>
  <r>
    <x v="44"/>
    <x v="345"/>
    <x v="2"/>
    <x v="3"/>
    <x v="9"/>
    <x v="1"/>
    <x v="2"/>
    <x v="5"/>
    <n v="78"/>
    <n v="40"/>
    <n v="0.04"/>
    <x v="175"/>
    <x v="342"/>
    <n v="3037.3"/>
    <n v="0.99"/>
    <x v="1"/>
  </r>
  <r>
    <x v="149"/>
    <x v="346"/>
    <x v="0"/>
    <x v="1"/>
    <x v="3"/>
    <x v="3"/>
    <x v="0"/>
    <x v="2"/>
    <n v="93"/>
    <n v="180"/>
    <n v="0.02"/>
    <x v="269"/>
    <x v="343"/>
    <n v="15384.59"/>
    <n v="1.07"/>
    <x v="0"/>
  </r>
  <r>
    <x v="103"/>
    <x v="347"/>
    <x v="4"/>
    <x v="2"/>
    <x v="4"/>
    <x v="5"/>
    <x v="2"/>
    <x v="4"/>
    <n v="167"/>
    <n v="30"/>
    <n v="0.05"/>
    <x v="156"/>
    <x v="344"/>
    <n v="5064.47"/>
    <n v="0.94"/>
    <x v="1"/>
  </r>
  <r>
    <x v="83"/>
    <x v="348"/>
    <x v="2"/>
    <x v="2"/>
    <x v="8"/>
    <x v="1"/>
    <x v="1"/>
    <x v="1"/>
    <n v="74"/>
    <n v="250"/>
    <n v="0.15"/>
    <x v="219"/>
    <x v="345"/>
    <n v="15348.96"/>
    <n v="1.02"/>
    <x v="0"/>
  </r>
  <r>
    <x v="138"/>
    <x v="349"/>
    <x v="1"/>
    <x v="1"/>
    <x v="3"/>
    <x v="1"/>
    <x v="1"/>
    <x v="1"/>
    <n v="71"/>
    <n v="250"/>
    <n v="7.0000000000000007E-2"/>
    <x v="270"/>
    <x v="346"/>
    <n v="15362.12"/>
    <n v="1.07"/>
    <x v="0"/>
  </r>
  <r>
    <x v="138"/>
    <x v="350"/>
    <x v="3"/>
    <x v="1"/>
    <x v="1"/>
    <x v="5"/>
    <x v="0"/>
    <x v="0"/>
    <n v="169"/>
    <n v="35"/>
    <n v="0.01"/>
    <x v="271"/>
    <x v="347"/>
    <n v="5448.65"/>
    <n v="1.07"/>
    <x v="0"/>
  </r>
  <r>
    <x v="82"/>
    <x v="351"/>
    <x v="2"/>
    <x v="0"/>
    <x v="0"/>
    <x v="5"/>
    <x v="1"/>
    <x v="1"/>
    <n v="128"/>
    <n v="250"/>
    <n v="7.0000000000000007E-2"/>
    <x v="272"/>
    <x v="348"/>
    <n v="26384.59"/>
    <n v="1.1299999999999999"/>
    <x v="0"/>
  </r>
  <r>
    <x v="17"/>
    <x v="352"/>
    <x v="3"/>
    <x v="0"/>
    <x v="7"/>
    <x v="0"/>
    <x v="2"/>
    <x v="5"/>
    <n v="175"/>
    <n v="40"/>
    <n v="0.08"/>
    <x v="15"/>
    <x v="349"/>
    <n v="5888.58"/>
    <n v="1.0900000000000001"/>
    <x v="0"/>
  </r>
  <r>
    <x v="61"/>
    <x v="353"/>
    <x v="0"/>
    <x v="3"/>
    <x v="5"/>
    <x v="1"/>
    <x v="1"/>
    <x v="1"/>
    <n v="20"/>
    <n v="250"/>
    <n v="0.12"/>
    <x v="203"/>
    <x v="350"/>
    <n v="3848.83"/>
    <n v="1.1399999999999999"/>
    <x v="0"/>
  </r>
  <r>
    <x v="124"/>
    <x v="354"/>
    <x v="0"/>
    <x v="1"/>
    <x v="1"/>
    <x v="2"/>
    <x v="2"/>
    <x v="4"/>
    <n v="71"/>
    <n v="30"/>
    <n v="0.08"/>
    <x v="273"/>
    <x v="351"/>
    <n v="1816.15"/>
    <n v="1.08"/>
    <x v="0"/>
  </r>
  <r>
    <x v="157"/>
    <x v="355"/>
    <x v="3"/>
    <x v="0"/>
    <x v="0"/>
    <x v="5"/>
    <x v="0"/>
    <x v="0"/>
    <n v="53"/>
    <n v="35"/>
    <n v="0.04"/>
    <x v="158"/>
    <x v="352"/>
    <n v="1578.77"/>
    <n v="1.1299999999999999"/>
    <x v="1"/>
  </r>
  <r>
    <x v="1"/>
    <x v="356"/>
    <x v="3"/>
    <x v="1"/>
    <x v="1"/>
    <x v="4"/>
    <x v="1"/>
    <x v="3"/>
    <n v="132"/>
    <n v="120"/>
    <n v="0.12"/>
    <x v="274"/>
    <x v="353"/>
    <n v="14607.2"/>
    <n v="0.95"/>
    <x v="0"/>
  </r>
  <r>
    <x v="57"/>
    <x v="357"/>
    <x v="0"/>
    <x v="0"/>
    <x v="7"/>
    <x v="5"/>
    <x v="2"/>
    <x v="4"/>
    <n v="150"/>
    <n v="30"/>
    <n v="0.14000000000000001"/>
    <x v="254"/>
    <x v="354"/>
    <n v="4293.13"/>
    <n v="0.9"/>
    <x v="1"/>
  </r>
  <r>
    <x v="54"/>
    <x v="358"/>
    <x v="4"/>
    <x v="1"/>
    <x v="3"/>
    <x v="2"/>
    <x v="0"/>
    <x v="0"/>
    <n v="182"/>
    <n v="35"/>
    <n v="7.0000000000000007E-2"/>
    <x v="275"/>
    <x v="355"/>
    <n v="6735.56"/>
    <n v="0.88"/>
    <x v="0"/>
  </r>
  <r>
    <x v="14"/>
    <x v="359"/>
    <x v="4"/>
    <x v="1"/>
    <x v="3"/>
    <x v="1"/>
    <x v="1"/>
    <x v="3"/>
    <n v="97"/>
    <n v="120"/>
    <n v="0"/>
    <x v="147"/>
    <x v="356"/>
    <n v="11164.89"/>
    <n v="1.04"/>
    <x v="1"/>
  </r>
  <r>
    <x v="132"/>
    <x v="360"/>
    <x v="1"/>
    <x v="0"/>
    <x v="0"/>
    <x v="0"/>
    <x v="1"/>
    <x v="3"/>
    <n v="192"/>
    <n v="120"/>
    <n v="0.13"/>
    <x v="276"/>
    <x v="357"/>
    <n v="17383.14"/>
    <n v="1.1499999999999999"/>
    <x v="1"/>
  </r>
  <r>
    <x v="47"/>
    <x v="361"/>
    <x v="3"/>
    <x v="3"/>
    <x v="10"/>
    <x v="5"/>
    <x v="2"/>
    <x v="4"/>
    <n v="126"/>
    <n v="30"/>
    <n v="0.14000000000000001"/>
    <x v="139"/>
    <x v="358"/>
    <n v="2818.72"/>
    <n v="1.1499999999999999"/>
    <x v="0"/>
  </r>
  <r>
    <x v="107"/>
    <x v="362"/>
    <x v="2"/>
    <x v="3"/>
    <x v="5"/>
    <x v="2"/>
    <x v="0"/>
    <x v="2"/>
    <n v="22"/>
    <n v="180"/>
    <n v="0.14000000000000001"/>
    <x v="77"/>
    <x v="359"/>
    <n v="3329.51"/>
    <n v="1.02"/>
    <x v="1"/>
  </r>
  <r>
    <x v="93"/>
    <x v="363"/>
    <x v="3"/>
    <x v="2"/>
    <x v="2"/>
    <x v="2"/>
    <x v="0"/>
    <x v="2"/>
    <n v="131"/>
    <n v="180"/>
    <n v="0.1"/>
    <x v="277"/>
    <x v="360"/>
    <n v="24922.22"/>
    <n v="0.85"/>
    <x v="1"/>
  </r>
  <r>
    <x v="98"/>
    <x v="364"/>
    <x v="4"/>
    <x v="3"/>
    <x v="9"/>
    <x v="1"/>
    <x v="0"/>
    <x v="2"/>
    <n v="157"/>
    <n v="180"/>
    <n v="0.05"/>
    <x v="278"/>
    <x v="361"/>
    <n v="27803.89"/>
    <n v="0.97"/>
    <x v="0"/>
  </r>
  <r>
    <x v="47"/>
    <x v="365"/>
    <x v="3"/>
    <x v="3"/>
    <x v="9"/>
    <x v="0"/>
    <x v="0"/>
    <x v="0"/>
    <n v="83"/>
    <n v="35"/>
    <n v="7.0000000000000007E-2"/>
    <x v="279"/>
    <x v="362"/>
    <n v="3025.42"/>
    <n v="0.89"/>
    <x v="0"/>
  </r>
  <r>
    <x v="20"/>
    <x v="366"/>
    <x v="1"/>
    <x v="0"/>
    <x v="0"/>
    <x v="3"/>
    <x v="0"/>
    <x v="2"/>
    <n v="173"/>
    <n v="180"/>
    <n v="0.12"/>
    <x v="98"/>
    <x v="363"/>
    <n v="28247.07"/>
    <n v="0.97"/>
    <x v="0"/>
  </r>
  <r>
    <x v="80"/>
    <x v="367"/>
    <x v="5"/>
    <x v="0"/>
    <x v="7"/>
    <x v="5"/>
    <x v="1"/>
    <x v="3"/>
    <n v="76"/>
    <n v="120"/>
    <n v="0.03"/>
    <x v="280"/>
    <x v="364"/>
    <n v="9639.98"/>
    <n v="0.92"/>
    <x v="0"/>
  </r>
  <r>
    <x v="67"/>
    <x v="368"/>
    <x v="5"/>
    <x v="2"/>
    <x v="4"/>
    <x v="1"/>
    <x v="2"/>
    <x v="5"/>
    <n v="17"/>
    <n v="40"/>
    <n v="0.08"/>
    <x v="281"/>
    <x v="365"/>
    <n v="719.6"/>
    <n v="0.87"/>
    <x v="0"/>
  </r>
  <r>
    <x v="155"/>
    <x v="369"/>
    <x v="4"/>
    <x v="2"/>
    <x v="8"/>
    <x v="2"/>
    <x v="0"/>
    <x v="2"/>
    <n v="16"/>
    <n v="180"/>
    <n v="0.01"/>
    <x v="119"/>
    <x v="366"/>
    <n v="2421.12"/>
    <n v="1.18"/>
    <x v="1"/>
  </r>
  <r>
    <x v="28"/>
    <x v="370"/>
    <x v="0"/>
    <x v="1"/>
    <x v="1"/>
    <x v="5"/>
    <x v="2"/>
    <x v="5"/>
    <n v="60"/>
    <n v="40"/>
    <n v="0.13"/>
    <x v="282"/>
    <x v="367"/>
    <n v="2219.66"/>
    <n v="0.94"/>
    <x v="0"/>
  </r>
  <r>
    <x v="144"/>
    <x v="371"/>
    <x v="3"/>
    <x v="3"/>
    <x v="9"/>
    <x v="5"/>
    <x v="1"/>
    <x v="1"/>
    <n v="200"/>
    <n v="250"/>
    <n v="0.11"/>
    <x v="283"/>
    <x v="368"/>
    <n v="40180.480000000003"/>
    <n v="1.1100000000000001"/>
    <x v="1"/>
  </r>
  <r>
    <x v="133"/>
    <x v="372"/>
    <x v="3"/>
    <x v="0"/>
    <x v="0"/>
    <x v="0"/>
    <x v="0"/>
    <x v="0"/>
    <n v="62"/>
    <n v="35"/>
    <n v="0.13"/>
    <x v="105"/>
    <x v="369"/>
    <n v="2230.9699999999998"/>
    <n v="0.85"/>
    <x v="0"/>
  </r>
  <r>
    <x v="74"/>
    <x v="373"/>
    <x v="1"/>
    <x v="0"/>
    <x v="7"/>
    <x v="5"/>
    <x v="2"/>
    <x v="4"/>
    <n v="194"/>
    <n v="30"/>
    <n v="0.02"/>
    <x v="284"/>
    <x v="370"/>
    <n v="5673.24"/>
    <n v="1.01"/>
    <x v="0"/>
  </r>
  <r>
    <x v="11"/>
    <x v="374"/>
    <x v="3"/>
    <x v="0"/>
    <x v="7"/>
    <x v="4"/>
    <x v="2"/>
    <x v="5"/>
    <n v="17"/>
    <n v="40"/>
    <n v="0.04"/>
    <x v="281"/>
    <x v="371"/>
    <n v="575.11"/>
    <n v="1.1399999999999999"/>
    <x v="0"/>
  </r>
  <r>
    <x v="130"/>
    <x v="375"/>
    <x v="1"/>
    <x v="1"/>
    <x v="3"/>
    <x v="3"/>
    <x v="0"/>
    <x v="0"/>
    <n v="5"/>
    <n v="35"/>
    <n v="7.0000000000000007E-2"/>
    <x v="285"/>
    <x v="372"/>
    <n v="190.42"/>
    <n v="0.85"/>
    <x v="1"/>
  </r>
  <r>
    <x v="37"/>
    <x v="376"/>
    <x v="3"/>
    <x v="1"/>
    <x v="3"/>
    <x v="3"/>
    <x v="1"/>
    <x v="3"/>
    <n v="12"/>
    <n v="120"/>
    <n v="0.11"/>
    <x v="129"/>
    <x v="373"/>
    <n v="1116.94"/>
    <n v="1.1499999999999999"/>
    <x v="0"/>
  </r>
  <r>
    <x v="115"/>
    <x v="377"/>
    <x v="2"/>
    <x v="3"/>
    <x v="9"/>
    <x v="4"/>
    <x v="2"/>
    <x v="5"/>
    <n v="163"/>
    <n v="40"/>
    <n v="0.13"/>
    <x v="286"/>
    <x v="374"/>
    <n v="6785.09"/>
    <n v="0.84"/>
    <x v="0"/>
  </r>
  <r>
    <x v="94"/>
    <x v="378"/>
    <x v="5"/>
    <x v="1"/>
    <x v="3"/>
    <x v="5"/>
    <x v="1"/>
    <x v="3"/>
    <n v="54"/>
    <n v="120"/>
    <n v="0.03"/>
    <x v="287"/>
    <x v="375"/>
    <n v="7375.01"/>
    <n v="0.85"/>
    <x v="1"/>
  </r>
  <r>
    <x v="145"/>
    <x v="379"/>
    <x v="5"/>
    <x v="1"/>
    <x v="3"/>
    <x v="3"/>
    <x v="0"/>
    <x v="2"/>
    <n v="190"/>
    <n v="180"/>
    <n v="0.09"/>
    <x v="288"/>
    <x v="376"/>
    <n v="27651.02"/>
    <n v="1.1299999999999999"/>
    <x v="1"/>
  </r>
  <r>
    <x v="158"/>
    <x v="380"/>
    <x v="5"/>
    <x v="3"/>
    <x v="9"/>
    <x v="4"/>
    <x v="0"/>
    <x v="2"/>
    <n v="92"/>
    <n v="180"/>
    <n v="0.06"/>
    <x v="289"/>
    <x v="377"/>
    <n v="16062.87"/>
    <n v="0.97"/>
    <x v="1"/>
  </r>
  <r>
    <x v="61"/>
    <x v="381"/>
    <x v="5"/>
    <x v="1"/>
    <x v="1"/>
    <x v="0"/>
    <x v="0"/>
    <x v="2"/>
    <n v="90"/>
    <n v="180"/>
    <n v="0.08"/>
    <x v="290"/>
    <x v="378"/>
    <n v="16076.37"/>
    <n v="0.93"/>
    <x v="1"/>
  </r>
  <r>
    <x v="25"/>
    <x v="382"/>
    <x v="1"/>
    <x v="2"/>
    <x v="8"/>
    <x v="3"/>
    <x v="1"/>
    <x v="1"/>
    <n v="185"/>
    <n v="250"/>
    <n v="0.13"/>
    <x v="291"/>
    <x v="379"/>
    <n v="44906.78"/>
    <n v="0.9"/>
    <x v="0"/>
  </r>
  <r>
    <x v="144"/>
    <x v="383"/>
    <x v="1"/>
    <x v="1"/>
    <x v="3"/>
    <x v="5"/>
    <x v="2"/>
    <x v="4"/>
    <n v="30"/>
    <n v="30"/>
    <n v="0.04"/>
    <x v="292"/>
    <x v="380"/>
    <n v="1005.73"/>
    <n v="0.86"/>
    <x v="0"/>
  </r>
  <r>
    <x v="17"/>
    <x v="384"/>
    <x v="2"/>
    <x v="0"/>
    <x v="0"/>
    <x v="1"/>
    <x v="1"/>
    <x v="1"/>
    <n v="191"/>
    <n v="250"/>
    <n v="0.06"/>
    <x v="293"/>
    <x v="381"/>
    <n v="49529.43"/>
    <n v="0.91"/>
    <x v="0"/>
  </r>
  <r>
    <x v="159"/>
    <x v="385"/>
    <x v="0"/>
    <x v="0"/>
    <x v="0"/>
    <x v="4"/>
    <x v="2"/>
    <x v="5"/>
    <n v="178"/>
    <n v="40"/>
    <n v="0.09"/>
    <x v="294"/>
    <x v="382"/>
    <n v="7342.09"/>
    <n v="0.88"/>
    <x v="0"/>
  </r>
  <r>
    <x v="83"/>
    <x v="386"/>
    <x v="1"/>
    <x v="0"/>
    <x v="7"/>
    <x v="5"/>
    <x v="1"/>
    <x v="3"/>
    <n v="117"/>
    <n v="120"/>
    <n v="0"/>
    <x v="104"/>
    <x v="383"/>
    <n v="13657.09"/>
    <n v="1.03"/>
    <x v="0"/>
  </r>
  <r>
    <x v="104"/>
    <x v="387"/>
    <x v="4"/>
    <x v="0"/>
    <x v="0"/>
    <x v="0"/>
    <x v="0"/>
    <x v="2"/>
    <n v="14"/>
    <n v="180"/>
    <n v="0.02"/>
    <x v="63"/>
    <x v="384"/>
    <n v="2254.13"/>
    <n v="1.1000000000000001"/>
    <x v="1"/>
  </r>
  <r>
    <x v="44"/>
    <x v="388"/>
    <x v="3"/>
    <x v="2"/>
    <x v="6"/>
    <x v="4"/>
    <x v="0"/>
    <x v="0"/>
    <n v="114"/>
    <n v="35"/>
    <n v="0.13"/>
    <x v="295"/>
    <x v="385"/>
    <n v="3237.34"/>
    <n v="1.07"/>
    <x v="0"/>
  </r>
  <r>
    <x v="86"/>
    <x v="389"/>
    <x v="1"/>
    <x v="2"/>
    <x v="2"/>
    <x v="3"/>
    <x v="1"/>
    <x v="3"/>
    <n v="56"/>
    <n v="120"/>
    <n v="0.01"/>
    <x v="296"/>
    <x v="386"/>
    <n v="5516.67"/>
    <n v="1.21"/>
    <x v="1"/>
  </r>
  <r>
    <x v="160"/>
    <x v="390"/>
    <x v="5"/>
    <x v="3"/>
    <x v="9"/>
    <x v="0"/>
    <x v="0"/>
    <x v="0"/>
    <n v="113"/>
    <n v="35"/>
    <n v="0"/>
    <x v="297"/>
    <x v="387"/>
    <n v="4090.23"/>
    <n v="0.97"/>
    <x v="1"/>
  </r>
  <r>
    <x v="127"/>
    <x v="391"/>
    <x v="3"/>
    <x v="3"/>
    <x v="10"/>
    <x v="0"/>
    <x v="2"/>
    <x v="5"/>
    <n v="89"/>
    <n v="40"/>
    <n v="0.13"/>
    <x v="298"/>
    <x v="388"/>
    <n v="3661.38"/>
    <n v="0.85"/>
    <x v="0"/>
  </r>
  <r>
    <x v="48"/>
    <x v="392"/>
    <x v="1"/>
    <x v="3"/>
    <x v="10"/>
    <x v="2"/>
    <x v="0"/>
    <x v="2"/>
    <n v="75"/>
    <n v="180"/>
    <n v="0.11"/>
    <x v="110"/>
    <x v="389"/>
    <n v="13379.16"/>
    <n v="0.9"/>
    <x v="0"/>
  </r>
  <r>
    <x v="95"/>
    <x v="393"/>
    <x v="4"/>
    <x v="2"/>
    <x v="8"/>
    <x v="5"/>
    <x v="1"/>
    <x v="3"/>
    <n v="114"/>
    <n v="120"/>
    <n v="0.06"/>
    <x v="299"/>
    <x v="390"/>
    <n v="12227.63"/>
    <n v="1.05"/>
    <x v="1"/>
  </r>
  <r>
    <x v="55"/>
    <x v="394"/>
    <x v="1"/>
    <x v="1"/>
    <x v="3"/>
    <x v="0"/>
    <x v="2"/>
    <x v="4"/>
    <n v="68"/>
    <n v="30"/>
    <n v="0.11"/>
    <x v="300"/>
    <x v="391"/>
    <n v="1559"/>
    <n v="1.1599999999999999"/>
    <x v="1"/>
  </r>
  <r>
    <x v="94"/>
    <x v="395"/>
    <x v="5"/>
    <x v="3"/>
    <x v="5"/>
    <x v="1"/>
    <x v="2"/>
    <x v="5"/>
    <n v="82"/>
    <n v="40"/>
    <n v="7.0000000000000007E-2"/>
    <x v="301"/>
    <x v="392"/>
    <n v="3503.46"/>
    <n v="0.87"/>
    <x v="1"/>
  </r>
  <r>
    <x v="110"/>
    <x v="396"/>
    <x v="2"/>
    <x v="2"/>
    <x v="6"/>
    <x v="5"/>
    <x v="0"/>
    <x v="0"/>
    <n v="19"/>
    <n v="35"/>
    <n v="0"/>
    <x v="25"/>
    <x v="393"/>
    <n v="650.5"/>
    <n v="1.02"/>
    <x v="1"/>
  </r>
  <r>
    <x v="0"/>
    <x v="397"/>
    <x v="5"/>
    <x v="1"/>
    <x v="3"/>
    <x v="2"/>
    <x v="2"/>
    <x v="4"/>
    <n v="177"/>
    <n v="30"/>
    <n v="0.12"/>
    <x v="302"/>
    <x v="220"/>
    <n v="5413.69"/>
    <n v="0.86"/>
    <x v="1"/>
  </r>
  <r>
    <x v="123"/>
    <x v="398"/>
    <x v="4"/>
    <x v="0"/>
    <x v="0"/>
    <x v="3"/>
    <x v="0"/>
    <x v="2"/>
    <n v="108"/>
    <n v="180"/>
    <n v="0.13"/>
    <x v="303"/>
    <x v="394"/>
    <n v="20024.23"/>
    <n v="0.84"/>
    <x v="1"/>
  </r>
  <r>
    <x v="3"/>
    <x v="399"/>
    <x v="4"/>
    <x v="1"/>
    <x v="1"/>
    <x v="4"/>
    <x v="2"/>
    <x v="5"/>
    <n v="50"/>
    <n v="40"/>
    <n v="0.01"/>
    <x v="39"/>
    <x v="395"/>
    <n v="1751.79"/>
    <n v="1.1299999999999999"/>
    <x v="0"/>
  </r>
  <r>
    <x v="108"/>
    <x v="400"/>
    <x v="1"/>
    <x v="1"/>
    <x v="3"/>
    <x v="1"/>
    <x v="1"/>
    <x v="3"/>
    <n v="123"/>
    <n v="120"/>
    <n v="0.05"/>
    <x v="304"/>
    <x v="396"/>
    <n v="16312.8"/>
    <n v="0.86"/>
    <x v="1"/>
  </r>
  <r>
    <x v="145"/>
    <x v="401"/>
    <x v="5"/>
    <x v="3"/>
    <x v="5"/>
    <x v="4"/>
    <x v="1"/>
    <x v="3"/>
    <n v="25"/>
    <n v="120"/>
    <n v="0.14000000000000001"/>
    <x v="102"/>
    <x v="397"/>
    <n v="2640.77"/>
    <n v="0.98"/>
    <x v="1"/>
  </r>
  <r>
    <x v="146"/>
    <x v="402"/>
    <x v="4"/>
    <x v="0"/>
    <x v="0"/>
    <x v="3"/>
    <x v="0"/>
    <x v="0"/>
    <n v="33"/>
    <n v="35"/>
    <n v="0.06"/>
    <x v="305"/>
    <x v="398"/>
    <n v="918.74"/>
    <n v="1.18"/>
    <x v="0"/>
  </r>
  <r>
    <x v="122"/>
    <x v="403"/>
    <x v="2"/>
    <x v="0"/>
    <x v="0"/>
    <x v="0"/>
    <x v="1"/>
    <x v="1"/>
    <n v="154"/>
    <n v="250"/>
    <n v="0.06"/>
    <x v="306"/>
    <x v="399"/>
    <n v="31132.28"/>
    <n v="1.1599999999999999"/>
    <x v="1"/>
  </r>
  <r>
    <x v="41"/>
    <x v="404"/>
    <x v="4"/>
    <x v="1"/>
    <x v="3"/>
    <x v="5"/>
    <x v="0"/>
    <x v="2"/>
    <n v="33"/>
    <n v="180"/>
    <n v="0.01"/>
    <x v="307"/>
    <x v="400"/>
    <n v="4737.6099999999997"/>
    <n v="1.24"/>
    <x v="0"/>
  </r>
  <r>
    <x v="161"/>
    <x v="405"/>
    <x v="5"/>
    <x v="3"/>
    <x v="9"/>
    <x v="1"/>
    <x v="0"/>
    <x v="2"/>
    <n v="5"/>
    <n v="180"/>
    <n v="0.08"/>
    <x v="292"/>
    <x v="401"/>
    <n v="784.12"/>
    <n v="1.06"/>
    <x v="0"/>
  </r>
  <r>
    <x v="71"/>
    <x v="406"/>
    <x v="5"/>
    <x v="3"/>
    <x v="5"/>
    <x v="4"/>
    <x v="2"/>
    <x v="4"/>
    <n v="100"/>
    <n v="30"/>
    <n v="7.0000000000000007E-2"/>
    <x v="102"/>
    <x v="402"/>
    <n v="2349.17"/>
    <n v="1.19"/>
    <x v="1"/>
  </r>
  <r>
    <x v="117"/>
    <x v="407"/>
    <x v="3"/>
    <x v="2"/>
    <x v="2"/>
    <x v="5"/>
    <x v="0"/>
    <x v="0"/>
    <n v="38"/>
    <n v="35"/>
    <n v="0.12"/>
    <x v="196"/>
    <x v="403"/>
    <n v="1246.1500000000001"/>
    <n v="0.94"/>
    <x v="0"/>
  </r>
  <r>
    <x v="76"/>
    <x v="408"/>
    <x v="2"/>
    <x v="3"/>
    <x v="10"/>
    <x v="0"/>
    <x v="1"/>
    <x v="3"/>
    <n v="8"/>
    <n v="120"/>
    <n v="0.11"/>
    <x v="32"/>
    <x v="404"/>
    <n v="792.41"/>
    <n v="1.08"/>
    <x v="1"/>
  </r>
  <r>
    <x v="4"/>
    <x v="409"/>
    <x v="1"/>
    <x v="1"/>
    <x v="1"/>
    <x v="1"/>
    <x v="0"/>
    <x v="0"/>
    <n v="200"/>
    <n v="35"/>
    <n v="0.15"/>
    <x v="15"/>
    <x v="405"/>
    <n v="5577.74"/>
    <n v="1.07"/>
    <x v="1"/>
  </r>
  <r>
    <x v="159"/>
    <x v="410"/>
    <x v="0"/>
    <x v="0"/>
    <x v="7"/>
    <x v="0"/>
    <x v="0"/>
    <x v="0"/>
    <n v="198"/>
    <n v="35"/>
    <n v="0.06"/>
    <x v="259"/>
    <x v="406"/>
    <n v="7641.9"/>
    <n v="0.85"/>
    <x v="0"/>
  </r>
  <r>
    <x v="0"/>
    <x v="411"/>
    <x v="4"/>
    <x v="1"/>
    <x v="1"/>
    <x v="2"/>
    <x v="0"/>
    <x v="0"/>
    <n v="162"/>
    <n v="35"/>
    <n v="7.0000000000000007E-2"/>
    <x v="57"/>
    <x v="407"/>
    <n v="5274.05"/>
    <n v="1"/>
    <x v="1"/>
  </r>
  <r>
    <x v="134"/>
    <x v="412"/>
    <x v="1"/>
    <x v="3"/>
    <x v="10"/>
    <x v="3"/>
    <x v="0"/>
    <x v="2"/>
    <n v="69"/>
    <n v="180"/>
    <n v="0.14000000000000001"/>
    <x v="308"/>
    <x v="408"/>
    <n v="8984.67"/>
    <n v="1.19"/>
    <x v="1"/>
  </r>
  <r>
    <x v="125"/>
    <x v="413"/>
    <x v="5"/>
    <x v="2"/>
    <x v="8"/>
    <x v="4"/>
    <x v="0"/>
    <x v="2"/>
    <n v="175"/>
    <n v="180"/>
    <n v="0.03"/>
    <x v="309"/>
    <x v="409"/>
    <n v="36661.99"/>
    <n v="0.83"/>
    <x v="1"/>
  </r>
  <r>
    <x v="150"/>
    <x v="414"/>
    <x v="2"/>
    <x v="1"/>
    <x v="1"/>
    <x v="3"/>
    <x v="0"/>
    <x v="2"/>
    <n v="68"/>
    <n v="180"/>
    <n v="0.02"/>
    <x v="227"/>
    <x v="410"/>
    <n v="11003.36"/>
    <n v="1.0900000000000001"/>
    <x v="1"/>
  </r>
  <r>
    <x v="83"/>
    <x v="415"/>
    <x v="0"/>
    <x v="0"/>
    <x v="7"/>
    <x v="5"/>
    <x v="2"/>
    <x v="5"/>
    <n v="121"/>
    <n v="40"/>
    <n v="0.02"/>
    <x v="215"/>
    <x v="411"/>
    <n v="5216.83"/>
    <n v="0.91"/>
    <x v="1"/>
  </r>
  <r>
    <x v="17"/>
    <x v="416"/>
    <x v="4"/>
    <x v="3"/>
    <x v="5"/>
    <x v="5"/>
    <x v="0"/>
    <x v="0"/>
    <n v="166"/>
    <n v="35"/>
    <n v="0.03"/>
    <x v="310"/>
    <x v="412"/>
    <n v="5510.56"/>
    <n v="1.02"/>
    <x v="1"/>
  </r>
  <r>
    <x v="72"/>
    <x v="417"/>
    <x v="3"/>
    <x v="0"/>
    <x v="7"/>
    <x v="3"/>
    <x v="1"/>
    <x v="1"/>
    <n v="14"/>
    <n v="250"/>
    <n v="7.0000000000000007E-2"/>
    <x v="257"/>
    <x v="413"/>
    <n v="3580.65"/>
    <n v="0.91"/>
    <x v="0"/>
  </r>
  <r>
    <x v="56"/>
    <x v="418"/>
    <x v="2"/>
    <x v="0"/>
    <x v="7"/>
    <x v="5"/>
    <x v="1"/>
    <x v="3"/>
    <n v="18"/>
    <n v="120"/>
    <n v="0.14000000000000001"/>
    <x v="311"/>
    <x v="414"/>
    <n v="2138.08"/>
    <n v="0.87"/>
    <x v="1"/>
  </r>
  <r>
    <x v="20"/>
    <x v="419"/>
    <x v="5"/>
    <x v="2"/>
    <x v="2"/>
    <x v="1"/>
    <x v="1"/>
    <x v="3"/>
    <n v="71"/>
    <n v="120"/>
    <n v="0.06"/>
    <x v="312"/>
    <x v="415"/>
    <n v="6982"/>
    <n v="1.1499999999999999"/>
    <x v="1"/>
  </r>
  <r>
    <x v="107"/>
    <x v="420"/>
    <x v="1"/>
    <x v="0"/>
    <x v="0"/>
    <x v="4"/>
    <x v="0"/>
    <x v="2"/>
    <n v="165"/>
    <n v="180"/>
    <n v="0.02"/>
    <x v="313"/>
    <x v="416"/>
    <n v="29949.97"/>
    <n v="0.97"/>
    <x v="0"/>
  </r>
  <r>
    <x v="142"/>
    <x v="421"/>
    <x v="5"/>
    <x v="2"/>
    <x v="6"/>
    <x v="2"/>
    <x v="2"/>
    <x v="5"/>
    <n v="22"/>
    <n v="40"/>
    <n v="0.04"/>
    <x v="314"/>
    <x v="417"/>
    <n v="836.4"/>
    <n v="1.01"/>
    <x v="1"/>
  </r>
  <r>
    <x v="54"/>
    <x v="422"/>
    <x v="4"/>
    <x v="2"/>
    <x v="6"/>
    <x v="1"/>
    <x v="1"/>
    <x v="1"/>
    <n v="22"/>
    <n v="250"/>
    <n v="0.11"/>
    <x v="315"/>
    <x v="418"/>
    <n v="4714.4399999999996"/>
    <n v="1.04"/>
    <x v="1"/>
  </r>
  <r>
    <x v="147"/>
    <x v="423"/>
    <x v="4"/>
    <x v="2"/>
    <x v="8"/>
    <x v="1"/>
    <x v="1"/>
    <x v="3"/>
    <n v="114"/>
    <n v="120"/>
    <n v="0.15"/>
    <x v="299"/>
    <x v="419"/>
    <n v="10214.209999999999"/>
    <n v="1.1399999999999999"/>
    <x v="0"/>
  </r>
  <r>
    <x v="109"/>
    <x v="424"/>
    <x v="3"/>
    <x v="3"/>
    <x v="9"/>
    <x v="5"/>
    <x v="2"/>
    <x v="4"/>
    <n v="27"/>
    <n v="30"/>
    <n v="0.09"/>
    <x v="316"/>
    <x v="420"/>
    <n v="633.89"/>
    <n v="1.1599999999999999"/>
    <x v="1"/>
  </r>
  <r>
    <x v="120"/>
    <x v="425"/>
    <x v="4"/>
    <x v="1"/>
    <x v="1"/>
    <x v="1"/>
    <x v="1"/>
    <x v="1"/>
    <n v="12"/>
    <n v="250"/>
    <n v="0.13"/>
    <x v="102"/>
    <x v="421"/>
    <n v="3096.14"/>
    <n v="0.84"/>
    <x v="1"/>
  </r>
  <r>
    <x v="8"/>
    <x v="426"/>
    <x v="3"/>
    <x v="0"/>
    <x v="0"/>
    <x v="4"/>
    <x v="2"/>
    <x v="4"/>
    <n v="161"/>
    <n v="30"/>
    <n v="0.12"/>
    <x v="243"/>
    <x v="422"/>
    <n v="3697.27"/>
    <n v="1.1499999999999999"/>
    <x v="0"/>
  </r>
  <r>
    <x v="142"/>
    <x v="427"/>
    <x v="3"/>
    <x v="0"/>
    <x v="0"/>
    <x v="3"/>
    <x v="1"/>
    <x v="1"/>
    <n v="98"/>
    <n v="250"/>
    <n v="0.01"/>
    <x v="317"/>
    <x v="423"/>
    <n v="22367.96"/>
    <n v="1.08"/>
    <x v="0"/>
  </r>
  <r>
    <x v="98"/>
    <x v="428"/>
    <x v="5"/>
    <x v="3"/>
    <x v="9"/>
    <x v="0"/>
    <x v="0"/>
    <x v="2"/>
    <n v="86"/>
    <n v="180"/>
    <n v="0.01"/>
    <x v="178"/>
    <x v="424"/>
    <n v="15741.14"/>
    <n v="0.97"/>
    <x v="1"/>
  </r>
  <r>
    <x v="162"/>
    <x v="429"/>
    <x v="5"/>
    <x v="3"/>
    <x v="10"/>
    <x v="0"/>
    <x v="1"/>
    <x v="3"/>
    <n v="100"/>
    <n v="120"/>
    <n v="0.1"/>
    <x v="180"/>
    <x v="425"/>
    <n v="11687.07"/>
    <n v="0.92"/>
    <x v="0"/>
  </r>
  <r>
    <x v="37"/>
    <x v="430"/>
    <x v="4"/>
    <x v="0"/>
    <x v="0"/>
    <x v="4"/>
    <x v="0"/>
    <x v="2"/>
    <n v="57"/>
    <n v="180"/>
    <n v="0.13"/>
    <x v="318"/>
    <x v="426"/>
    <n v="8072.26"/>
    <n v="1.1100000000000001"/>
    <x v="0"/>
  </r>
  <r>
    <x v="122"/>
    <x v="431"/>
    <x v="0"/>
    <x v="1"/>
    <x v="1"/>
    <x v="3"/>
    <x v="0"/>
    <x v="0"/>
    <n v="54"/>
    <n v="35"/>
    <n v="0.14000000000000001"/>
    <x v="319"/>
    <x v="427"/>
    <n v="1404.32"/>
    <n v="1.1599999999999999"/>
    <x v="0"/>
  </r>
  <r>
    <x v="145"/>
    <x v="432"/>
    <x v="4"/>
    <x v="2"/>
    <x v="8"/>
    <x v="1"/>
    <x v="1"/>
    <x v="1"/>
    <n v="102"/>
    <n v="250"/>
    <n v="0.06"/>
    <x v="320"/>
    <x v="428"/>
    <n v="28362.69"/>
    <n v="0.85"/>
    <x v="1"/>
  </r>
  <r>
    <x v="79"/>
    <x v="433"/>
    <x v="0"/>
    <x v="0"/>
    <x v="0"/>
    <x v="0"/>
    <x v="1"/>
    <x v="3"/>
    <n v="112"/>
    <n v="120"/>
    <n v="0.01"/>
    <x v="321"/>
    <x v="21"/>
    <n v="12501.71"/>
    <n v="1.06"/>
    <x v="0"/>
  </r>
  <r>
    <x v="81"/>
    <x v="434"/>
    <x v="0"/>
    <x v="3"/>
    <x v="10"/>
    <x v="5"/>
    <x v="2"/>
    <x v="5"/>
    <n v="98"/>
    <n v="40"/>
    <n v="0.14000000000000001"/>
    <x v="20"/>
    <x v="248"/>
    <n v="2989.32"/>
    <n v="1.1299999999999999"/>
    <x v="0"/>
  </r>
  <r>
    <x v="90"/>
    <x v="435"/>
    <x v="1"/>
    <x v="1"/>
    <x v="3"/>
    <x v="1"/>
    <x v="2"/>
    <x v="4"/>
    <n v="127"/>
    <n v="30"/>
    <n v="0"/>
    <x v="322"/>
    <x v="429"/>
    <n v="3548.25"/>
    <n v="1.07"/>
    <x v="0"/>
  </r>
  <r>
    <x v="109"/>
    <x v="436"/>
    <x v="3"/>
    <x v="2"/>
    <x v="6"/>
    <x v="2"/>
    <x v="0"/>
    <x v="0"/>
    <n v="18"/>
    <n v="35"/>
    <n v="0"/>
    <x v="323"/>
    <x v="430"/>
    <n v="686.02"/>
    <n v="0.92"/>
    <x v="1"/>
  </r>
  <r>
    <x v="8"/>
    <x v="437"/>
    <x v="3"/>
    <x v="0"/>
    <x v="0"/>
    <x v="0"/>
    <x v="0"/>
    <x v="2"/>
    <n v="171"/>
    <n v="180"/>
    <n v="0.06"/>
    <x v="324"/>
    <x v="431"/>
    <n v="25366.63"/>
    <n v="1.1399999999999999"/>
    <x v="1"/>
  </r>
  <r>
    <x v="163"/>
    <x v="438"/>
    <x v="4"/>
    <x v="3"/>
    <x v="5"/>
    <x v="2"/>
    <x v="1"/>
    <x v="3"/>
    <n v="149"/>
    <n v="120"/>
    <n v="0.06"/>
    <x v="325"/>
    <x v="432"/>
    <n v="16841.54"/>
    <n v="1"/>
    <x v="0"/>
  </r>
  <r>
    <x v="40"/>
    <x v="439"/>
    <x v="1"/>
    <x v="0"/>
    <x v="7"/>
    <x v="0"/>
    <x v="1"/>
    <x v="1"/>
    <n v="195"/>
    <n v="250"/>
    <n v="7.0000000000000007E-2"/>
    <x v="326"/>
    <x v="433"/>
    <n v="40887.870000000003"/>
    <n v="1.1100000000000001"/>
    <x v="1"/>
  </r>
  <r>
    <x v="3"/>
    <x v="440"/>
    <x v="2"/>
    <x v="0"/>
    <x v="0"/>
    <x v="0"/>
    <x v="1"/>
    <x v="3"/>
    <n v="199"/>
    <n v="120"/>
    <n v="0.12"/>
    <x v="130"/>
    <x v="434"/>
    <n v="24027.79"/>
    <n v="0.87"/>
    <x v="0"/>
  </r>
  <r>
    <x v="97"/>
    <x v="441"/>
    <x v="5"/>
    <x v="3"/>
    <x v="5"/>
    <x v="3"/>
    <x v="2"/>
    <x v="4"/>
    <n v="185"/>
    <n v="30"/>
    <n v="0.1"/>
    <x v="72"/>
    <x v="75"/>
    <n v="4337.24"/>
    <n v="1.1499999999999999"/>
    <x v="1"/>
  </r>
  <r>
    <x v="42"/>
    <x v="442"/>
    <x v="1"/>
    <x v="1"/>
    <x v="3"/>
    <x v="1"/>
    <x v="1"/>
    <x v="3"/>
    <n v="21"/>
    <n v="120"/>
    <n v="0.12"/>
    <x v="63"/>
    <x v="435"/>
    <n v="2213.1"/>
    <n v="1"/>
    <x v="0"/>
  </r>
  <r>
    <x v="164"/>
    <x v="443"/>
    <x v="1"/>
    <x v="3"/>
    <x v="5"/>
    <x v="4"/>
    <x v="2"/>
    <x v="4"/>
    <n v="60"/>
    <n v="30"/>
    <n v="0.04"/>
    <x v="31"/>
    <x v="436"/>
    <n v="1719.43"/>
    <n v="1"/>
    <x v="1"/>
  </r>
  <r>
    <x v="142"/>
    <x v="444"/>
    <x v="3"/>
    <x v="2"/>
    <x v="6"/>
    <x v="1"/>
    <x v="2"/>
    <x v="5"/>
    <n v="18"/>
    <n v="40"/>
    <n v="0.01"/>
    <x v="190"/>
    <x v="437"/>
    <n v="705.32"/>
    <n v="1.01"/>
    <x v="0"/>
  </r>
  <r>
    <x v="79"/>
    <x v="445"/>
    <x v="1"/>
    <x v="0"/>
    <x v="7"/>
    <x v="5"/>
    <x v="0"/>
    <x v="0"/>
    <n v="14"/>
    <n v="35"/>
    <n v="0.06"/>
    <x v="327"/>
    <x v="438"/>
    <n v="397.19"/>
    <n v="1.1599999999999999"/>
    <x v="1"/>
  </r>
  <r>
    <x v="157"/>
    <x v="446"/>
    <x v="2"/>
    <x v="2"/>
    <x v="4"/>
    <x v="3"/>
    <x v="2"/>
    <x v="5"/>
    <n v="146"/>
    <n v="40"/>
    <n v="7.0000000000000007E-2"/>
    <x v="328"/>
    <x v="439"/>
    <n v="4499.42"/>
    <n v="1.21"/>
    <x v="0"/>
  </r>
  <r>
    <x v="139"/>
    <x v="447"/>
    <x v="1"/>
    <x v="2"/>
    <x v="4"/>
    <x v="4"/>
    <x v="2"/>
    <x v="5"/>
    <n v="166"/>
    <n v="40"/>
    <n v="0.11"/>
    <x v="169"/>
    <x v="440"/>
    <n v="6762.96"/>
    <n v="0.87"/>
    <x v="0"/>
  </r>
  <r>
    <x v="61"/>
    <x v="448"/>
    <x v="2"/>
    <x v="1"/>
    <x v="3"/>
    <x v="4"/>
    <x v="1"/>
    <x v="3"/>
    <n v="55"/>
    <n v="120"/>
    <n v="0"/>
    <x v="329"/>
    <x v="441"/>
    <n v="7078.09"/>
    <n v="0.93"/>
    <x v="0"/>
  </r>
  <r>
    <x v="123"/>
    <x v="449"/>
    <x v="2"/>
    <x v="3"/>
    <x v="10"/>
    <x v="0"/>
    <x v="1"/>
    <x v="3"/>
    <n v="62"/>
    <n v="120"/>
    <n v="0.13"/>
    <x v="172"/>
    <x v="442"/>
    <n v="5403.23"/>
    <n v="1.2"/>
    <x v="0"/>
  </r>
  <r>
    <x v="37"/>
    <x v="450"/>
    <x v="3"/>
    <x v="0"/>
    <x v="7"/>
    <x v="0"/>
    <x v="0"/>
    <x v="0"/>
    <n v="16"/>
    <n v="35"/>
    <n v="0.06"/>
    <x v="94"/>
    <x v="443"/>
    <n v="596.66"/>
    <n v="0.88"/>
    <x v="0"/>
  </r>
  <r>
    <x v="157"/>
    <x v="451"/>
    <x v="3"/>
    <x v="0"/>
    <x v="7"/>
    <x v="3"/>
    <x v="2"/>
    <x v="4"/>
    <n v="139"/>
    <n v="30"/>
    <n v="0.01"/>
    <x v="330"/>
    <x v="444"/>
    <n v="4243.88"/>
    <n v="0.97"/>
    <x v="0"/>
  </r>
  <r>
    <x v="141"/>
    <x v="452"/>
    <x v="2"/>
    <x v="2"/>
    <x v="4"/>
    <x v="0"/>
    <x v="2"/>
    <x v="4"/>
    <n v="110"/>
    <n v="30"/>
    <n v="0.12"/>
    <x v="331"/>
    <x v="445"/>
    <n v="2440.0300000000002"/>
    <n v="1.19"/>
    <x v="1"/>
  </r>
  <r>
    <x v="116"/>
    <x v="453"/>
    <x v="3"/>
    <x v="1"/>
    <x v="3"/>
    <x v="4"/>
    <x v="2"/>
    <x v="5"/>
    <n v="17"/>
    <n v="40"/>
    <n v="0.09"/>
    <x v="281"/>
    <x v="446"/>
    <n v="613.15"/>
    <n v="1.01"/>
    <x v="1"/>
  </r>
  <r>
    <x v="58"/>
    <x v="454"/>
    <x v="4"/>
    <x v="1"/>
    <x v="1"/>
    <x v="0"/>
    <x v="1"/>
    <x v="3"/>
    <n v="38"/>
    <n v="120"/>
    <n v="0.11"/>
    <x v="332"/>
    <x v="447"/>
    <n v="3874.43"/>
    <n v="1.05"/>
    <x v="1"/>
  </r>
  <r>
    <x v="112"/>
    <x v="455"/>
    <x v="3"/>
    <x v="3"/>
    <x v="9"/>
    <x v="2"/>
    <x v="0"/>
    <x v="0"/>
    <n v="167"/>
    <n v="35"/>
    <n v="0.02"/>
    <x v="333"/>
    <x v="448"/>
    <n v="6754.96"/>
    <n v="0.85"/>
    <x v="0"/>
  </r>
  <r>
    <x v="42"/>
    <x v="456"/>
    <x v="5"/>
    <x v="3"/>
    <x v="10"/>
    <x v="4"/>
    <x v="0"/>
    <x v="2"/>
    <n v="51"/>
    <n v="180"/>
    <n v="0.01"/>
    <x v="334"/>
    <x v="449"/>
    <n v="8653.51"/>
    <n v="1.05"/>
    <x v="0"/>
  </r>
  <r>
    <x v="90"/>
    <x v="457"/>
    <x v="3"/>
    <x v="0"/>
    <x v="0"/>
    <x v="1"/>
    <x v="0"/>
    <x v="0"/>
    <n v="182"/>
    <n v="35"/>
    <n v="0.06"/>
    <x v="275"/>
    <x v="450"/>
    <n v="4909.5200000000004"/>
    <n v="1.22"/>
    <x v="0"/>
  </r>
  <r>
    <x v="64"/>
    <x v="458"/>
    <x v="3"/>
    <x v="1"/>
    <x v="1"/>
    <x v="1"/>
    <x v="2"/>
    <x v="4"/>
    <n v="184"/>
    <n v="30"/>
    <n v="0.08"/>
    <x v="103"/>
    <x v="451"/>
    <n v="5973.39"/>
    <n v="0.85"/>
    <x v="0"/>
  </r>
  <r>
    <x v="62"/>
    <x v="459"/>
    <x v="5"/>
    <x v="1"/>
    <x v="1"/>
    <x v="0"/>
    <x v="0"/>
    <x v="0"/>
    <n v="142"/>
    <n v="35"/>
    <n v="0.13"/>
    <x v="335"/>
    <x v="452"/>
    <n v="3730.87"/>
    <n v="1.1599999999999999"/>
    <x v="0"/>
  </r>
  <r>
    <x v="36"/>
    <x v="460"/>
    <x v="3"/>
    <x v="2"/>
    <x v="4"/>
    <x v="5"/>
    <x v="0"/>
    <x v="0"/>
    <n v="157"/>
    <n v="35"/>
    <n v="0.05"/>
    <x v="336"/>
    <x v="453"/>
    <n v="4826.8999999999996"/>
    <n v="1.08"/>
    <x v="1"/>
  </r>
  <r>
    <x v="77"/>
    <x v="461"/>
    <x v="3"/>
    <x v="3"/>
    <x v="5"/>
    <x v="3"/>
    <x v="1"/>
    <x v="1"/>
    <n v="182"/>
    <n v="250"/>
    <n v="0.09"/>
    <x v="80"/>
    <x v="83"/>
    <n v="47212.25"/>
    <n v="0.88"/>
    <x v="1"/>
  </r>
  <r>
    <x v="160"/>
    <x v="462"/>
    <x v="3"/>
    <x v="1"/>
    <x v="1"/>
    <x v="0"/>
    <x v="2"/>
    <x v="4"/>
    <n v="126"/>
    <n v="30"/>
    <n v="0.08"/>
    <x v="139"/>
    <x v="454"/>
    <n v="4163.07"/>
    <n v="0.84"/>
    <x v="1"/>
  </r>
  <r>
    <x v="138"/>
    <x v="463"/>
    <x v="5"/>
    <x v="3"/>
    <x v="10"/>
    <x v="2"/>
    <x v="0"/>
    <x v="0"/>
    <n v="9"/>
    <n v="35"/>
    <n v="0.12"/>
    <x v="337"/>
    <x v="455"/>
    <n v="309.29000000000002"/>
    <n v="0.9"/>
    <x v="0"/>
  </r>
  <r>
    <x v="161"/>
    <x v="464"/>
    <x v="4"/>
    <x v="3"/>
    <x v="10"/>
    <x v="4"/>
    <x v="1"/>
    <x v="1"/>
    <n v="46"/>
    <n v="250"/>
    <n v="0.05"/>
    <x v="338"/>
    <x v="456"/>
    <n v="12037.28"/>
    <n v="0.91"/>
    <x v="0"/>
  </r>
  <r>
    <x v="93"/>
    <x v="465"/>
    <x v="2"/>
    <x v="1"/>
    <x v="1"/>
    <x v="5"/>
    <x v="2"/>
    <x v="4"/>
    <n v="34"/>
    <n v="30"/>
    <n v="7.0000000000000007E-2"/>
    <x v="339"/>
    <x v="457"/>
    <n v="1017.33"/>
    <n v="0.93"/>
    <x v="0"/>
  </r>
  <r>
    <x v="148"/>
    <x v="466"/>
    <x v="1"/>
    <x v="1"/>
    <x v="1"/>
    <x v="1"/>
    <x v="2"/>
    <x v="5"/>
    <n v="140"/>
    <n v="40"/>
    <n v="0.1"/>
    <x v="340"/>
    <x v="458"/>
    <n v="5434.08"/>
    <n v="0.93"/>
    <x v="1"/>
  </r>
  <r>
    <x v="126"/>
    <x v="467"/>
    <x v="5"/>
    <x v="2"/>
    <x v="8"/>
    <x v="5"/>
    <x v="0"/>
    <x v="0"/>
    <n v="132"/>
    <n v="35"/>
    <n v="7.0000000000000007E-2"/>
    <x v="341"/>
    <x v="459"/>
    <n v="4808.17"/>
    <n v="0.89"/>
    <x v="0"/>
  </r>
  <r>
    <x v="37"/>
    <x v="468"/>
    <x v="2"/>
    <x v="3"/>
    <x v="5"/>
    <x v="3"/>
    <x v="0"/>
    <x v="0"/>
    <n v="13"/>
    <n v="35"/>
    <n v="0.09"/>
    <x v="342"/>
    <x v="460"/>
    <n v="445.39"/>
    <n v="0.93"/>
    <x v="1"/>
  </r>
  <r>
    <x v="8"/>
    <x v="469"/>
    <x v="0"/>
    <x v="1"/>
    <x v="1"/>
    <x v="0"/>
    <x v="1"/>
    <x v="1"/>
    <n v="10"/>
    <n v="250"/>
    <n v="0.06"/>
    <x v="343"/>
    <x v="461"/>
    <n v="2798.92"/>
    <n v="0.84"/>
    <x v="0"/>
  </r>
  <r>
    <x v="65"/>
    <x v="470"/>
    <x v="5"/>
    <x v="2"/>
    <x v="4"/>
    <x v="0"/>
    <x v="0"/>
    <x v="0"/>
    <n v="181"/>
    <n v="35"/>
    <n v="0.15"/>
    <x v="344"/>
    <x v="462"/>
    <n v="4401.54"/>
    <n v="1.22"/>
    <x v="1"/>
  </r>
  <r>
    <x v="97"/>
    <x v="471"/>
    <x v="5"/>
    <x v="1"/>
    <x v="1"/>
    <x v="4"/>
    <x v="1"/>
    <x v="1"/>
    <n v="72"/>
    <n v="250"/>
    <n v="0.05"/>
    <x v="210"/>
    <x v="463"/>
    <n v="15821.25"/>
    <n v="1.08"/>
    <x v="0"/>
  </r>
  <r>
    <x v="100"/>
    <x v="472"/>
    <x v="4"/>
    <x v="3"/>
    <x v="10"/>
    <x v="1"/>
    <x v="0"/>
    <x v="2"/>
    <n v="112"/>
    <n v="180"/>
    <n v="0.1"/>
    <x v="127"/>
    <x v="464"/>
    <n v="14543.6"/>
    <n v="1.25"/>
    <x v="0"/>
  </r>
  <r>
    <x v="85"/>
    <x v="473"/>
    <x v="1"/>
    <x v="3"/>
    <x v="9"/>
    <x v="0"/>
    <x v="2"/>
    <x v="4"/>
    <n v="173"/>
    <n v="30"/>
    <n v="0.01"/>
    <x v="345"/>
    <x v="465"/>
    <n v="4890.66"/>
    <n v="1.05"/>
    <x v="1"/>
  </r>
  <r>
    <x v="117"/>
    <x v="474"/>
    <x v="3"/>
    <x v="1"/>
    <x v="3"/>
    <x v="5"/>
    <x v="0"/>
    <x v="2"/>
    <n v="168"/>
    <n v="180"/>
    <n v="0.13"/>
    <x v="346"/>
    <x v="466"/>
    <n v="28936.55"/>
    <n v="0.91"/>
    <x v="0"/>
  </r>
  <r>
    <x v="84"/>
    <x v="475"/>
    <x v="3"/>
    <x v="0"/>
    <x v="0"/>
    <x v="1"/>
    <x v="1"/>
    <x v="3"/>
    <n v="91"/>
    <n v="120"/>
    <n v="0.14000000000000001"/>
    <x v="347"/>
    <x v="467"/>
    <n v="11258.56"/>
    <n v="0.83"/>
    <x v="1"/>
  </r>
  <r>
    <x v="78"/>
    <x v="476"/>
    <x v="5"/>
    <x v="0"/>
    <x v="7"/>
    <x v="0"/>
    <x v="0"/>
    <x v="2"/>
    <n v="36"/>
    <n v="180"/>
    <n v="0.15"/>
    <x v="287"/>
    <x v="468"/>
    <n v="4705.88"/>
    <n v="1.17"/>
    <x v="1"/>
  </r>
  <r>
    <x v="89"/>
    <x v="477"/>
    <x v="2"/>
    <x v="0"/>
    <x v="7"/>
    <x v="0"/>
    <x v="1"/>
    <x v="3"/>
    <n v="132"/>
    <n v="120"/>
    <n v="0.05"/>
    <x v="274"/>
    <x v="469"/>
    <n v="12510.8"/>
    <n v="1.2"/>
    <x v="0"/>
  </r>
  <r>
    <x v="26"/>
    <x v="478"/>
    <x v="2"/>
    <x v="2"/>
    <x v="6"/>
    <x v="3"/>
    <x v="1"/>
    <x v="1"/>
    <n v="185"/>
    <n v="250"/>
    <n v="7.0000000000000007E-2"/>
    <x v="291"/>
    <x v="470"/>
    <n v="40548.68"/>
    <n v="1.06"/>
    <x v="1"/>
  </r>
  <r>
    <x v="58"/>
    <x v="479"/>
    <x v="4"/>
    <x v="1"/>
    <x v="1"/>
    <x v="2"/>
    <x v="1"/>
    <x v="3"/>
    <n v="29"/>
    <n v="120"/>
    <n v="0.06"/>
    <x v="97"/>
    <x v="471"/>
    <n v="2900.96"/>
    <n v="1.1299999999999999"/>
    <x v="1"/>
  </r>
  <r>
    <x v="0"/>
    <x v="480"/>
    <x v="5"/>
    <x v="3"/>
    <x v="10"/>
    <x v="3"/>
    <x v="2"/>
    <x v="4"/>
    <n v="148"/>
    <n v="30"/>
    <n v="0.01"/>
    <x v="170"/>
    <x v="472"/>
    <n v="3754.55"/>
    <n v="1.17"/>
    <x v="1"/>
  </r>
  <r>
    <x v="7"/>
    <x v="481"/>
    <x v="4"/>
    <x v="1"/>
    <x v="3"/>
    <x v="0"/>
    <x v="2"/>
    <x v="5"/>
    <n v="119"/>
    <n v="40"/>
    <n v="0.1"/>
    <x v="0"/>
    <x v="473"/>
    <n v="4430.1400000000003"/>
    <n v="0.97"/>
    <x v="0"/>
  </r>
  <r>
    <x v="32"/>
    <x v="482"/>
    <x v="4"/>
    <x v="1"/>
    <x v="1"/>
    <x v="4"/>
    <x v="1"/>
    <x v="1"/>
    <n v="27"/>
    <n v="250"/>
    <n v="0.01"/>
    <x v="348"/>
    <x v="474"/>
    <n v="7351.85"/>
    <n v="0.91"/>
    <x v="1"/>
  </r>
  <r>
    <x v="45"/>
    <x v="483"/>
    <x v="5"/>
    <x v="3"/>
    <x v="5"/>
    <x v="4"/>
    <x v="1"/>
    <x v="3"/>
    <n v="197"/>
    <n v="120"/>
    <n v="7.0000000000000007E-2"/>
    <x v="349"/>
    <x v="475"/>
    <n v="20738.439999999999"/>
    <n v="1.06"/>
    <x v="0"/>
  </r>
  <r>
    <x v="82"/>
    <x v="484"/>
    <x v="4"/>
    <x v="1"/>
    <x v="1"/>
    <x v="1"/>
    <x v="2"/>
    <x v="4"/>
    <n v="175"/>
    <n v="30"/>
    <n v="0.11"/>
    <x v="164"/>
    <x v="476"/>
    <n v="4205.57"/>
    <n v="1.1100000000000001"/>
    <x v="1"/>
  </r>
  <r>
    <x v="128"/>
    <x v="485"/>
    <x v="3"/>
    <x v="2"/>
    <x v="6"/>
    <x v="5"/>
    <x v="1"/>
    <x v="1"/>
    <n v="44"/>
    <n v="250"/>
    <n v="0.12"/>
    <x v="350"/>
    <x v="477"/>
    <n v="10255.5"/>
    <n v="0.94"/>
    <x v="1"/>
  </r>
  <r>
    <x v="130"/>
    <x v="486"/>
    <x v="1"/>
    <x v="2"/>
    <x v="2"/>
    <x v="0"/>
    <x v="0"/>
    <x v="0"/>
    <n v="39"/>
    <n v="35"/>
    <n v="0.02"/>
    <x v="35"/>
    <x v="478"/>
    <n v="1079.05"/>
    <n v="1.24"/>
    <x v="0"/>
  </r>
  <r>
    <x v="29"/>
    <x v="487"/>
    <x v="1"/>
    <x v="2"/>
    <x v="8"/>
    <x v="1"/>
    <x v="1"/>
    <x v="1"/>
    <n v="35"/>
    <n v="250"/>
    <n v="0.02"/>
    <x v="188"/>
    <x v="479"/>
    <n v="7789.34"/>
    <n v="1.1000000000000001"/>
    <x v="0"/>
  </r>
  <r>
    <x v="6"/>
    <x v="488"/>
    <x v="5"/>
    <x v="1"/>
    <x v="3"/>
    <x v="4"/>
    <x v="1"/>
    <x v="3"/>
    <n v="16"/>
    <n v="120"/>
    <n v="0.12"/>
    <x v="163"/>
    <x v="480"/>
    <n v="1441.54"/>
    <n v="1.17"/>
    <x v="1"/>
  </r>
  <r>
    <x v="54"/>
    <x v="489"/>
    <x v="5"/>
    <x v="0"/>
    <x v="0"/>
    <x v="5"/>
    <x v="2"/>
    <x v="5"/>
    <n v="165"/>
    <n v="40"/>
    <n v="0.11"/>
    <x v="329"/>
    <x v="481"/>
    <n v="4774.2"/>
    <n v="1.23"/>
    <x v="0"/>
  </r>
  <r>
    <x v="146"/>
    <x v="490"/>
    <x v="0"/>
    <x v="0"/>
    <x v="7"/>
    <x v="4"/>
    <x v="0"/>
    <x v="0"/>
    <n v="100"/>
    <n v="35"/>
    <n v="0.11"/>
    <x v="257"/>
    <x v="482"/>
    <n v="2826.82"/>
    <n v="1.1000000000000001"/>
    <x v="0"/>
  </r>
  <r>
    <x v="50"/>
    <x v="491"/>
    <x v="3"/>
    <x v="1"/>
    <x v="1"/>
    <x v="2"/>
    <x v="1"/>
    <x v="1"/>
    <n v="84"/>
    <n v="250"/>
    <n v="0.01"/>
    <x v="351"/>
    <x v="483"/>
    <n v="20785.53"/>
    <n v="1"/>
    <x v="0"/>
  </r>
  <r>
    <x v="4"/>
    <x v="492"/>
    <x v="1"/>
    <x v="3"/>
    <x v="10"/>
    <x v="5"/>
    <x v="1"/>
    <x v="1"/>
    <n v="200"/>
    <n v="250"/>
    <n v="0.14000000000000001"/>
    <x v="283"/>
    <x v="484"/>
    <n v="40153.82"/>
    <n v="1.07"/>
    <x v="0"/>
  </r>
  <r>
    <x v="155"/>
    <x v="493"/>
    <x v="4"/>
    <x v="1"/>
    <x v="1"/>
    <x v="4"/>
    <x v="0"/>
    <x v="0"/>
    <n v="52"/>
    <n v="35"/>
    <n v="7.0000000000000007E-2"/>
    <x v="146"/>
    <x v="162"/>
    <n v="1698.36"/>
    <n v="1"/>
    <x v="1"/>
  </r>
  <r>
    <x v="93"/>
    <x v="494"/>
    <x v="0"/>
    <x v="2"/>
    <x v="2"/>
    <x v="3"/>
    <x v="0"/>
    <x v="2"/>
    <n v="22"/>
    <n v="180"/>
    <n v="0.06"/>
    <x v="77"/>
    <x v="485"/>
    <n v="3196.08"/>
    <n v="1.1599999999999999"/>
    <x v="1"/>
  </r>
  <r>
    <x v="103"/>
    <x v="495"/>
    <x v="4"/>
    <x v="1"/>
    <x v="1"/>
    <x v="5"/>
    <x v="0"/>
    <x v="0"/>
    <n v="104"/>
    <n v="35"/>
    <n v="0.08"/>
    <x v="183"/>
    <x v="208"/>
    <n v="2979.5"/>
    <n v="1.1200000000000001"/>
    <x v="0"/>
  </r>
  <r>
    <x v="6"/>
    <x v="496"/>
    <x v="3"/>
    <x v="3"/>
    <x v="9"/>
    <x v="5"/>
    <x v="1"/>
    <x v="3"/>
    <n v="151"/>
    <n v="120"/>
    <n v="0.09"/>
    <x v="352"/>
    <x v="486"/>
    <n v="19575.79"/>
    <n v="0.84"/>
    <x v="1"/>
  </r>
  <r>
    <x v="123"/>
    <x v="497"/>
    <x v="1"/>
    <x v="0"/>
    <x v="0"/>
    <x v="4"/>
    <x v="2"/>
    <x v="5"/>
    <n v="40"/>
    <n v="40"/>
    <n v="0.12"/>
    <x v="353"/>
    <x v="487"/>
    <n v="1498.41"/>
    <n v="0.94"/>
    <x v="1"/>
  </r>
  <r>
    <x v="91"/>
    <x v="498"/>
    <x v="4"/>
    <x v="2"/>
    <x v="6"/>
    <x v="2"/>
    <x v="1"/>
    <x v="3"/>
    <n v="142"/>
    <n v="120"/>
    <n v="0.09"/>
    <x v="354"/>
    <x v="488"/>
    <n v="14573.76"/>
    <n v="1.06"/>
    <x v="0"/>
  </r>
  <r>
    <x v="149"/>
    <x v="499"/>
    <x v="1"/>
    <x v="2"/>
    <x v="2"/>
    <x v="0"/>
    <x v="2"/>
    <x v="5"/>
    <n v="33"/>
    <n v="40"/>
    <n v="0.01"/>
    <x v="86"/>
    <x v="489"/>
    <n v="1358.86"/>
    <n v="0.96"/>
    <x v="1"/>
  </r>
  <r>
    <x v="129"/>
    <x v="500"/>
    <x v="1"/>
    <x v="0"/>
    <x v="0"/>
    <x v="3"/>
    <x v="2"/>
    <x v="4"/>
    <n v="137"/>
    <n v="30"/>
    <n v="0.13"/>
    <x v="355"/>
    <x v="490"/>
    <n v="2988.97"/>
    <n v="1.2"/>
    <x v="1"/>
  </r>
  <r>
    <x v="106"/>
    <x v="501"/>
    <x v="3"/>
    <x v="1"/>
    <x v="3"/>
    <x v="5"/>
    <x v="1"/>
    <x v="3"/>
    <n v="88"/>
    <n v="120"/>
    <n v="0.12"/>
    <x v="356"/>
    <x v="491"/>
    <n v="9475.09"/>
    <n v="0.98"/>
    <x v="1"/>
  </r>
  <r>
    <x v="18"/>
    <x v="502"/>
    <x v="4"/>
    <x v="3"/>
    <x v="9"/>
    <x v="4"/>
    <x v="0"/>
    <x v="2"/>
    <n v="128"/>
    <n v="180"/>
    <n v="0.04"/>
    <x v="276"/>
    <x v="492"/>
    <n v="22696.74"/>
    <n v="0.97"/>
    <x v="1"/>
  </r>
  <r>
    <x v="64"/>
    <x v="503"/>
    <x v="4"/>
    <x v="2"/>
    <x v="6"/>
    <x v="3"/>
    <x v="2"/>
    <x v="4"/>
    <n v="61"/>
    <n v="30"/>
    <n v="0.03"/>
    <x v="357"/>
    <x v="493"/>
    <n v="1636.34"/>
    <n v="1.08"/>
    <x v="1"/>
  </r>
  <r>
    <x v="26"/>
    <x v="504"/>
    <x v="3"/>
    <x v="0"/>
    <x v="0"/>
    <x v="5"/>
    <x v="2"/>
    <x v="5"/>
    <n v="59"/>
    <n v="40"/>
    <n v="0.01"/>
    <x v="358"/>
    <x v="494"/>
    <n v="1877.49"/>
    <n v="1.24"/>
    <x v="0"/>
  </r>
  <r>
    <x v="144"/>
    <x v="505"/>
    <x v="2"/>
    <x v="2"/>
    <x v="2"/>
    <x v="1"/>
    <x v="2"/>
    <x v="5"/>
    <n v="91"/>
    <n v="40"/>
    <n v="0.14000000000000001"/>
    <x v="183"/>
    <x v="495"/>
    <n v="3640.89"/>
    <n v="0.86"/>
    <x v="1"/>
  </r>
  <r>
    <x v="103"/>
    <x v="506"/>
    <x v="1"/>
    <x v="0"/>
    <x v="0"/>
    <x v="3"/>
    <x v="0"/>
    <x v="0"/>
    <n v="28"/>
    <n v="35"/>
    <n v="0.05"/>
    <x v="154"/>
    <x v="496"/>
    <n v="1014.68"/>
    <n v="0.92"/>
    <x v="0"/>
  </r>
  <r>
    <x v="100"/>
    <x v="507"/>
    <x v="3"/>
    <x v="3"/>
    <x v="10"/>
    <x v="0"/>
    <x v="1"/>
    <x v="1"/>
    <n v="12"/>
    <n v="250"/>
    <n v="0.1"/>
    <x v="102"/>
    <x v="497"/>
    <n v="2943.66"/>
    <n v="0.92"/>
    <x v="0"/>
  </r>
  <r>
    <x v="165"/>
    <x v="508"/>
    <x v="3"/>
    <x v="3"/>
    <x v="10"/>
    <x v="2"/>
    <x v="1"/>
    <x v="1"/>
    <n v="80"/>
    <n v="250"/>
    <n v="0.01"/>
    <x v="65"/>
    <x v="498"/>
    <n v="21806.06"/>
    <n v="0.91"/>
    <x v="0"/>
  </r>
  <r>
    <x v="49"/>
    <x v="509"/>
    <x v="1"/>
    <x v="0"/>
    <x v="0"/>
    <x v="1"/>
    <x v="1"/>
    <x v="1"/>
    <n v="5"/>
    <n v="250"/>
    <n v="0.06"/>
    <x v="359"/>
    <x v="499"/>
    <n v="1209.76"/>
    <n v="0.97"/>
    <x v="0"/>
  </r>
  <r>
    <x v="110"/>
    <x v="510"/>
    <x v="5"/>
    <x v="1"/>
    <x v="3"/>
    <x v="0"/>
    <x v="1"/>
    <x v="1"/>
    <n v="37"/>
    <n v="250"/>
    <n v="0.01"/>
    <x v="360"/>
    <x v="500"/>
    <n v="7742.88"/>
    <n v="1.18"/>
    <x v="0"/>
  </r>
  <r>
    <x v="36"/>
    <x v="511"/>
    <x v="1"/>
    <x v="1"/>
    <x v="3"/>
    <x v="0"/>
    <x v="0"/>
    <x v="2"/>
    <n v="78"/>
    <n v="180"/>
    <n v="7.0000000000000007E-2"/>
    <x v="104"/>
    <x v="501"/>
    <n v="13813.22"/>
    <n v="0.95"/>
    <x v="0"/>
  </r>
  <r>
    <x v="109"/>
    <x v="512"/>
    <x v="2"/>
    <x v="3"/>
    <x v="9"/>
    <x v="3"/>
    <x v="0"/>
    <x v="0"/>
    <n v="85"/>
    <n v="35"/>
    <n v="0.03"/>
    <x v="361"/>
    <x v="502"/>
    <n v="2746.82"/>
    <n v="1.05"/>
    <x v="1"/>
  </r>
  <r>
    <x v="105"/>
    <x v="513"/>
    <x v="1"/>
    <x v="3"/>
    <x v="10"/>
    <x v="2"/>
    <x v="2"/>
    <x v="5"/>
    <n v="113"/>
    <n v="40"/>
    <n v="0.15"/>
    <x v="52"/>
    <x v="503"/>
    <n v="4346.67"/>
    <n v="0.88"/>
    <x v="0"/>
  </r>
  <r>
    <x v="161"/>
    <x v="514"/>
    <x v="2"/>
    <x v="3"/>
    <x v="10"/>
    <x v="1"/>
    <x v="2"/>
    <x v="5"/>
    <n v="42"/>
    <n v="40"/>
    <n v="0.01"/>
    <x v="362"/>
    <x v="504"/>
    <n v="1498.43"/>
    <n v="1.1100000000000001"/>
    <x v="1"/>
  </r>
  <r>
    <x v="114"/>
    <x v="515"/>
    <x v="5"/>
    <x v="3"/>
    <x v="10"/>
    <x v="1"/>
    <x v="0"/>
    <x v="2"/>
    <n v="35"/>
    <n v="180"/>
    <n v="0.11"/>
    <x v="363"/>
    <x v="505"/>
    <n v="5448.16"/>
    <n v="1.03"/>
    <x v="0"/>
  </r>
  <r>
    <x v="109"/>
    <x v="516"/>
    <x v="3"/>
    <x v="2"/>
    <x v="2"/>
    <x v="5"/>
    <x v="2"/>
    <x v="5"/>
    <n v="83"/>
    <n v="40"/>
    <n v="0.03"/>
    <x v="60"/>
    <x v="506"/>
    <n v="3677.04"/>
    <n v="0.88"/>
    <x v="1"/>
  </r>
  <r>
    <x v="153"/>
    <x v="517"/>
    <x v="4"/>
    <x v="2"/>
    <x v="6"/>
    <x v="3"/>
    <x v="1"/>
    <x v="3"/>
    <n v="71"/>
    <n v="120"/>
    <n v="0.04"/>
    <x v="312"/>
    <x v="507"/>
    <n v="6717.64"/>
    <n v="1.22"/>
    <x v="1"/>
  </r>
  <r>
    <x v="47"/>
    <x v="518"/>
    <x v="4"/>
    <x v="3"/>
    <x v="5"/>
    <x v="4"/>
    <x v="0"/>
    <x v="0"/>
    <n v="51"/>
    <n v="35"/>
    <n v="0.05"/>
    <x v="364"/>
    <x v="508"/>
    <n v="1408.7"/>
    <n v="1.2"/>
    <x v="1"/>
  </r>
  <r>
    <x v="42"/>
    <x v="519"/>
    <x v="4"/>
    <x v="2"/>
    <x v="2"/>
    <x v="2"/>
    <x v="2"/>
    <x v="4"/>
    <n v="168"/>
    <n v="30"/>
    <n v="0.01"/>
    <x v="124"/>
    <x v="509"/>
    <n v="4900.91"/>
    <n v="1.02"/>
    <x v="0"/>
  </r>
  <r>
    <x v="27"/>
    <x v="520"/>
    <x v="0"/>
    <x v="3"/>
    <x v="9"/>
    <x v="4"/>
    <x v="1"/>
    <x v="3"/>
    <n v="81"/>
    <n v="120"/>
    <n v="0.1"/>
    <x v="365"/>
    <x v="510"/>
    <n v="9480.89"/>
    <n v="0.92"/>
    <x v="0"/>
  </r>
  <r>
    <x v="105"/>
    <x v="521"/>
    <x v="0"/>
    <x v="2"/>
    <x v="4"/>
    <x v="4"/>
    <x v="0"/>
    <x v="0"/>
    <n v="48"/>
    <n v="35"/>
    <n v="0.01"/>
    <x v="362"/>
    <x v="504"/>
    <n v="1925.97"/>
    <n v="0.86"/>
    <x v="0"/>
  </r>
  <r>
    <x v="119"/>
    <x v="522"/>
    <x v="3"/>
    <x v="3"/>
    <x v="10"/>
    <x v="0"/>
    <x v="2"/>
    <x v="5"/>
    <n v="122"/>
    <n v="40"/>
    <n v="0.05"/>
    <x v="366"/>
    <x v="511"/>
    <n v="4175.6400000000003"/>
    <n v="1.1100000000000001"/>
    <x v="0"/>
  </r>
  <r>
    <x v="92"/>
    <x v="523"/>
    <x v="0"/>
    <x v="0"/>
    <x v="7"/>
    <x v="4"/>
    <x v="1"/>
    <x v="1"/>
    <n v="173"/>
    <n v="250"/>
    <n v="0.09"/>
    <x v="367"/>
    <x v="512"/>
    <n v="33304.28"/>
    <n v="1.18"/>
    <x v="1"/>
  </r>
  <r>
    <x v="2"/>
    <x v="524"/>
    <x v="0"/>
    <x v="0"/>
    <x v="7"/>
    <x v="1"/>
    <x v="1"/>
    <x v="3"/>
    <n v="35"/>
    <n v="120"/>
    <n v="0.11"/>
    <x v="368"/>
    <x v="513"/>
    <n v="4355.59"/>
    <n v="0.86"/>
    <x v="1"/>
  </r>
  <r>
    <x v="17"/>
    <x v="525"/>
    <x v="5"/>
    <x v="1"/>
    <x v="1"/>
    <x v="3"/>
    <x v="0"/>
    <x v="2"/>
    <n v="160"/>
    <n v="180"/>
    <n v="0.14000000000000001"/>
    <x v="369"/>
    <x v="514"/>
    <n v="25366.14"/>
    <n v="0.98"/>
    <x v="0"/>
  </r>
  <r>
    <x v="142"/>
    <x v="526"/>
    <x v="3"/>
    <x v="0"/>
    <x v="7"/>
    <x v="2"/>
    <x v="0"/>
    <x v="2"/>
    <n v="137"/>
    <n v="180"/>
    <n v="0.03"/>
    <x v="370"/>
    <x v="515"/>
    <n v="24734.25"/>
    <n v="0.97"/>
    <x v="0"/>
  </r>
  <r>
    <x v="29"/>
    <x v="527"/>
    <x v="4"/>
    <x v="0"/>
    <x v="0"/>
    <x v="5"/>
    <x v="2"/>
    <x v="4"/>
    <n v="179"/>
    <n v="30"/>
    <n v="0.12"/>
    <x v="371"/>
    <x v="516"/>
    <n v="5051.7700000000004"/>
    <n v="0.94"/>
    <x v="1"/>
  </r>
  <r>
    <x v="83"/>
    <x v="528"/>
    <x v="2"/>
    <x v="2"/>
    <x v="8"/>
    <x v="3"/>
    <x v="0"/>
    <x v="2"/>
    <n v="197"/>
    <n v="180"/>
    <n v="0.1"/>
    <x v="372"/>
    <x v="517"/>
    <n v="33082.94"/>
    <n v="0.96"/>
    <x v="1"/>
  </r>
  <r>
    <x v="50"/>
    <x v="529"/>
    <x v="3"/>
    <x v="2"/>
    <x v="4"/>
    <x v="0"/>
    <x v="1"/>
    <x v="3"/>
    <n v="28"/>
    <n v="120"/>
    <n v="0.09"/>
    <x v="111"/>
    <x v="518"/>
    <n v="2882.62"/>
    <n v="1.06"/>
    <x v="1"/>
  </r>
  <r>
    <x v="108"/>
    <x v="530"/>
    <x v="5"/>
    <x v="0"/>
    <x v="7"/>
    <x v="4"/>
    <x v="2"/>
    <x v="5"/>
    <n v="47"/>
    <n v="40"/>
    <n v="0.12"/>
    <x v="148"/>
    <x v="519"/>
    <n v="1866.32"/>
    <n v="0.89"/>
    <x v="1"/>
  </r>
  <r>
    <x v="146"/>
    <x v="531"/>
    <x v="4"/>
    <x v="0"/>
    <x v="0"/>
    <x v="3"/>
    <x v="0"/>
    <x v="2"/>
    <n v="71"/>
    <n v="180"/>
    <n v="0.09"/>
    <x v="373"/>
    <x v="520"/>
    <n v="13774.48"/>
    <n v="0.84"/>
    <x v="0"/>
  </r>
  <r>
    <x v="141"/>
    <x v="532"/>
    <x v="1"/>
    <x v="1"/>
    <x v="1"/>
    <x v="3"/>
    <x v="0"/>
    <x v="2"/>
    <n v="55"/>
    <n v="180"/>
    <n v="0.03"/>
    <x v="264"/>
    <x v="521"/>
    <n v="9188.2000000000007"/>
    <n v="1.05"/>
    <x v="1"/>
  </r>
  <r>
    <x v="163"/>
    <x v="533"/>
    <x v="4"/>
    <x v="1"/>
    <x v="3"/>
    <x v="1"/>
    <x v="2"/>
    <x v="4"/>
    <n v="44"/>
    <n v="30"/>
    <n v="0.02"/>
    <x v="86"/>
    <x v="522"/>
    <n v="1471.75"/>
    <n v="0.88"/>
    <x v="0"/>
  </r>
  <r>
    <x v="126"/>
    <x v="534"/>
    <x v="2"/>
    <x v="0"/>
    <x v="7"/>
    <x v="2"/>
    <x v="2"/>
    <x v="4"/>
    <n v="29"/>
    <n v="30"/>
    <n v="0.15"/>
    <x v="374"/>
    <x v="523"/>
    <n v="773"/>
    <n v="0.96"/>
    <x v="0"/>
  </r>
  <r>
    <x v="27"/>
    <x v="535"/>
    <x v="1"/>
    <x v="3"/>
    <x v="5"/>
    <x v="0"/>
    <x v="1"/>
    <x v="3"/>
    <n v="6"/>
    <n v="120"/>
    <n v="0.14000000000000001"/>
    <x v="190"/>
    <x v="524"/>
    <n v="738.65"/>
    <n v="0.84"/>
    <x v="0"/>
  </r>
  <r>
    <x v="94"/>
    <x v="536"/>
    <x v="1"/>
    <x v="1"/>
    <x v="1"/>
    <x v="1"/>
    <x v="1"/>
    <x v="1"/>
    <n v="24"/>
    <n v="250"/>
    <n v="0.09"/>
    <x v="375"/>
    <x v="525"/>
    <n v="5996.08"/>
    <n v="0.91"/>
    <x v="0"/>
  </r>
  <r>
    <x v="100"/>
    <x v="537"/>
    <x v="4"/>
    <x v="0"/>
    <x v="0"/>
    <x v="5"/>
    <x v="0"/>
    <x v="0"/>
    <n v="184"/>
    <n v="35"/>
    <n v="0.12"/>
    <x v="73"/>
    <x v="526"/>
    <n v="5328.31"/>
    <n v="1.06"/>
    <x v="1"/>
  </r>
  <r>
    <x v="122"/>
    <x v="538"/>
    <x v="3"/>
    <x v="3"/>
    <x v="10"/>
    <x v="0"/>
    <x v="1"/>
    <x v="3"/>
    <n v="60"/>
    <n v="120"/>
    <n v="0.01"/>
    <x v="151"/>
    <x v="527"/>
    <n v="7623.76"/>
    <n v="0.93"/>
    <x v="0"/>
  </r>
  <r>
    <x v="12"/>
    <x v="539"/>
    <x v="4"/>
    <x v="0"/>
    <x v="0"/>
    <x v="2"/>
    <x v="0"/>
    <x v="0"/>
    <n v="131"/>
    <n v="35"/>
    <n v="0.12"/>
    <x v="376"/>
    <x v="528"/>
    <n v="3354.8"/>
    <n v="1.2"/>
    <x v="1"/>
  </r>
  <r>
    <x v="49"/>
    <x v="540"/>
    <x v="2"/>
    <x v="0"/>
    <x v="0"/>
    <x v="4"/>
    <x v="0"/>
    <x v="2"/>
    <n v="135"/>
    <n v="180"/>
    <n v="7.0000000000000007E-2"/>
    <x v="377"/>
    <x v="529"/>
    <n v="19889.18"/>
    <n v="1.1399999999999999"/>
    <x v="1"/>
  </r>
  <r>
    <x v="40"/>
    <x v="541"/>
    <x v="0"/>
    <x v="0"/>
    <x v="0"/>
    <x v="1"/>
    <x v="0"/>
    <x v="2"/>
    <n v="34"/>
    <n v="180"/>
    <n v="0.13"/>
    <x v="222"/>
    <x v="530"/>
    <n v="5097.29"/>
    <n v="1.04"/>
    <x v="1"/>
  </r>
  <r>
    <x v="113"/>
    <x v="542"/>
    <x v="1"/>
    <x v="2"/>
    <x v="4"/>
    <x v="3"/>
    <x v="1"/>
    <x v="1"/>
    <n v="28"/>
    <n v="250"/>
    <n v="0.15"/>
    <x v="15"/>
    <x v="405"/>
    <n v="6911.69"/>
    <n v="0.86"/>
    <x v="0"/>
  </r>
  <r>
    <x v="85"/>
    <x v="543"/>
    <x v="4"/>
    <x v="2"/>
    <x v="4"/>
    <x v="5"/>
    <x v="2"/>
    <x v="5"/>
    <n v="167"/>
    <n v="40"/>
    <n v="0.13"/>
    <x v="378"/>
    <x v="531"/>
    <n v="4987.62"/>
    <n v="1.17"/>
    <x v="0"/>
  </r>
  <r>
    <x v="141"/>
    <x v="544"/>
    <x v="4"/>
    <x v="0"/>
    <x v="0"/>
    <x v="3"/>
    <x v="2"/>
    <x v="5"/>
    <n v="63"/>
    <n v="40"/>
    <n v="0.12"/>
    <x v="63"/>
    <x v="435"/>
    <n v="2146.88"/>
    <n v="1.03"/>
    <x v="1"/>
  </r>
  <r>
    <x v="23"/>
    <x v="545"/>
    <x v="0"/>
    <x v="1"/>
    <x v="1"/>
    <x v="5"/>
    <x v="1"/>
    <x v="3"/>
    <n v="65"/>
    <n v="120"/>
    <n v="0.06"/>
    <x v="28"/>
    <x v="532"/>
    <n v="7755.09"/>
    <n v="0.95"/>
    <x v="0"/>
  </r>
  <r>
    <x v="27"/>
    <x v="546"/>
    <x v="5"/>
    <x v="1"/>
    <x v="3"/>
    <x v="2"/>
    <x v="2"/>
    <x v="4"/>
    <n v="138"/>
    <n v="30"/>
    <n v="0.1"/>
    <x v="379"/>
    <x v="533"/>
    <n v="3644.28"/>
    <n v="1.02"/>
    <x v="1"/>
  </r>
  <r>
    <x v="7"/>
    <x v="547"/>
    <x v="0"/>
    <x v="2"/>
    <x v="4"/>
    <x v="4"/>
    <x v="1"/>
    <x v="3"/>
    <n v="44"/>
    <n v="120"/>
    <n v="7.0000000000000007E-2"/>
    <x v="171"/>
    <x v="534"/>
    <n v="4135.22"/>
    <n v="1.19"/>
    <x v="1"/>
  </r>
  <r>
    <x v="48"/>
    <x v="548"/>
    <x v="1"/>
    <x v="2"/>
    <x v="6"/>
    <x v="2"/>
    <x v="2"/>
    <x v="4"/>
    <n v="39"/>
    <n v="30"/>
    <n v="0.02"/>
    <x v="380"/>
    <x v="535"/>
    <n v="1305.8399999999999"/>
    <n v="0.88"/>
    <x v="1"/>
  </r>
  <r>
    <x v="94"/>
    <x v="549"/>
    <x v="5"/>
    <x v="3"/>
    <x v="5"/>
    <x v="3"/>
    <x v="0"/>
    <x v="0"/>
    <n v="67"/>
    <n v="35"/>
    <n v="0.08"/>
    <x v="381"/>
    <x v="536"/>
    <n v="1987.92"/>
    <n v="1.0900000000000001"/>
    <x v="1"/>
  </r>
  <r>
    <x v="18"/>
    <x v="550"/>
    <x v="0"/>
    <x v="2"/>
    <x v="2"/>
    <x v="1"/>
    <x v="1"/>
    <x v="3"/>
    <n v="102"/>
    <n v="120"/>
    <n v="0.04"/>
    <x v="227"/>
    <x v="537"/>
    <n v="13327.31"/>
    <n v="0.88"/>
    <x v="1"/>
  </r>
  <r>
    <x v="82"/>
    <x v="551"/>
    <x v="0"/>
    <x v="1"/>
    <x v="3"/>
    <x v="3"/>
    <x v="2"/>
    <x v="4"/>
    <n v="127"/>
    <n v="30"/>
    <n v="0.11"/>
    <x v="322"/>
    <x v="538"/>
    <n v="3211.63"/>
    <n v="1.06"/>
    <x v="0"/>
  </r>
  <r>
    <x v="65"/>
    <x v="552"/>
    <x v="3"/>
    <x v="3"/>
    <x v="5"/>
    <x v="1"/>
    <x v="1"/>
    <x v="3"/>
    <n v="71"/>
    <n v="120"/>
    <n v="0.03"/>
    <x v="312"/>
    <x v="539"/>
    <n v="7247.51"/>
    <n v="1.1399999999999999"/>
    <x v="0"/>
  </r>
  <r>
    <x v="95"/>
    <x v="553"/>
    <x v="0"/>
    <x v="1"/>
    <x v="1"/>
    <x v="0"/>
    <x v="1"/>
    <x v="1"/>
    <n v="70"/>
    <n v="250"/>
    <n v="0"/>
    <x v="382"/>
    <x v="540"/>
    <n v="14638.31"/>
    <n v="1.2"/>
    <x v="0"/>
  </r>
  <r>
    <x v="59"/>
    <x v="554"/>
    <x v="0"/>
    <x v="2"/>
    <x v="8"/>
    <x v="0"/>
    <x v="2"/>
    <x v="5"/>
    <n v="180"/>
    <n v="40"/>
    <n v="0.01"/>
    <x v="151"/>
    <x v="527"/>
    <n v="8517.14"/>
    <n v="0.84"/>
    <x v="1"/>
  </r>
  <r>
    <x v="166"/>
    <x v="555"/>
    <x v="2"/>
    <x v="0"/>
    <x v="0"/>
    <x v="1"/>
    <x v="1"/>
    <x v="3"/>
    <n v="128"/>
    <n v="120"/>
    <n v="0.08"/>
    <x v="383"/>
    <x v="541"/>
    <n v="11871.35"/>
    <n v="1.19"/>
    <x v="1"/>
  </r>
  <r>
    <x v="138"/>
    <x v="556"/>
    <x v="1"/>
    <x v="3"/>
    <x v="5"/>
    <x v="4"/>
    <x v="0"/>
    <x v="0"/>
    <n v="190"/>
    <n v="35"/>
    <n v="0.08"/>
    <x v="384"/>
    <x v="542"/>
    <n v="6715.31"/>
    <n v="0.91"/>
    <x v="1"/>
  </r>
  <r>
    <x v="86"/>
    <x v="557"/>
    <x v="0"/>
    <x v="1"/>
    <x v="3"/>
    <x v="4"/>
    <x v="0"/>
    <x v="0"/>
    <n v="14"/>
    <n v="35"/>
    <n v="0.04"/>
    <x v="327"/>
    <x v="543"/>
    <n v="425.44"/>
    <n v="1.1100000000000001"/>
    <x v="1"/>
  </r>
  <r>
    <x v="29"/>
    <x v="558"/>
    <x v="5"/>
    <x v="0"/>
    <x v="7"/>
    <x v="5"/>
    <x v="2"/>
    <x v="5"/>
    <n v="73"/>
    <n v="40"/>
    <n v="0.04"/>
    <x v="385"/>
    <x v="544"/>
    <n v="2551.67"/>
    <n v="1.1000000000000001"/>
    <x v="0"/>
  </r>
  <r>
    <x v="159"/>
    <x v="559"/>
    <x v="1"/>
    <x v="0"/>
    <x v="0"/>
    <x v="5"/>
    <x v="2"/>
    <x v="4"/>
    <n v="52"/>
    <n v="30"/>
    <n v="0.01"/>
    <x v="162"/>
    <x v="545"/>
    <n v="1836.42"/>
    <n v="0.84"/>
    <x v="0"/>
  </r>
  <r>
    <x v="167"/>
    <x v="560"/>
    <x v="2"/>
    <x v="3"/>
    <x v="9"/>
    <x v="1"/>
    <x v="0"/>
    <x v="0"/>
    <n v="200"/>
    <n v="35"/>
    <n v="0.12"/>
    <x v="15"/>
    <x v="229"/>
    <n v="4990.08"/>
    <n v="1.23"/>
    <x v="1"/>
  </r>
  <r>
    <x v="94"/>
    <x v="561"/>
    <x v="0"/>
    <x v="3"/>
    <x v="9"/>
    <x v="3"/>
    <x v="0"/>
    <x v="2"/>
    <n v="102"/>
    <n v="180"/>
    <n v="0.1"/>
    <x v="386"/>
    <x v="546"/>
    <n v="19425.82"/>
    <n v="0.85"/>
    <x v="1"/>
  </r>
  <r>
    <x v="128"/>
    <x v="562"/>
    <x v="4"/>
    <x v="1"/>
    <x v="1"/>
    <x v="4"/>
    <x v="0"/>
    <x v="0"/>
    <n v="19"/>
    <n v="35"/>
    <n v="0"/>
    <x v="25"/>
    <x v="393"/>
    <n v="759.02"/>
    <n v="0.88"/>
    <x v="1"/>
  </r>
  <r>
    <x v="101"/>
    <x v="563"/>
    <x v="1"/>
    <x v="3"/>
    <x v="9"/>
    <x v="1"/>
    <x v="1"/>
    <x v="3"/>
    <n v="94"/>
    <n v="120"/>
    <n v="0.03"/>
    <x v="387"/>
    <x v="547"/>
    <n v="10921.67"/>
    <n v="1"/>
    <x v="0"/>
  </r>
  <r>
    <x v="139"/>
    <x v="564"/>
    <x v="5"/>
    <x v="2"/>
    <x v="2"/>
    <x v="3"/>
    <x v="1"/>
    <x v="3"/>
    <n v="139"/>
    <n v="120"/>
    <n v="0.14000000000000001"/>
    <x v="388"/>
    <x v="548"/>
    <n v="12239.85"/>
    <n v="1.17"/>
    <x v="1"/>
  </r>
  <r>
    <x v="13"/>
    <x v="565"/>
    <x v="3"/>
    <x v="2"/>
    <x v="2"/>
    <x v="5"/>
    <x v="2"/>
    <x v="4"/>
    <n v="51"/>
    <n v="30"/>
    <n v="0.14000000000000001"/>
    <x v="389"/>
    <x v="549"/>
    <n v="1522.81"/>
    <n v="0.86"/>
    <x v="1"/>
  </r>
  <r>
    <x v="58"/>
    <x v="566"/>
    <x v="0"/>
    <x v="2"/>
    <x v="8"/>
    <x v="1"/>
    <x v="2"/>
    <x v="5"/>
    <n v="50"/>
    <n v="40"/>
    <n v="0.06"/>
    <x v="39"/>
    <x v="550"/>
    <n v="1614.09"/>
    <n v="1.1599999999999999"/>
    <x v="0"/>
  </r>
  <r>
    <x v="127"/>
    <x v="567"/>
    <x v="3"/>
    <x v="1"/>
    <x v="3"/>
    <x v="1"/>
    <x v="0"/>
    <x v="0"/>
    <n v="137"/>
    <n v="35"/>
    <n v="0.01"/>
    <x v="14"/>
    <x v="551"/>
    <n v="4592.3"/>
    <n v="1.03"/>
    <x v="0"/>
  </r>
  <r>
    <x v="3"/>
    <x v="568"/>
    <x v="2"/>
    <x v="3"/>
    <x v="5"/>
    <x v="4"/>
    <x v="2"/>
    <x v="4"/>
    <n v="133"/>
    <n v="30"/>
    <n v="0.05"/>
    <x v="295"/>
    <x v="552"/>
    <n v="3961.37"/>
    <n v="0.96"/>
    <x v="1"/>
  </r>
  <r>
    <x v="123"/>
    <x v="569"/>
    <x v="4"/>
    <x v="3"/>
    <x v="10"/>
    <x v="1"/>
    <x v="2"/>
    <x v="4"/>
    <n v="74"/>
    <n v="30"/>
    <n v="0.03"/>
    <x v="390"/>
    <x v="553"/>
    <n v="2178.83"/>
    <n v="0.99"/>
    <x v="0"/>
  </r>
  <r>
    <x v="60"/>
    <x v="570"/>
    <x v="3"/>
    <x v="0"/>
    <x v="0"/>
    <x v="1"/>
    <x v="0"/>
    <x v="0"/>
    <n v="108"/>
    <n v="35"/>
    <n v="0.09"/>
    <x v="139"/>
    <x v="554"/>
    <n v="3878.58"/>
    <n v="0.89"/>
    <x v="1"/>
  </r>
  <r>
    <x v="101"/>
    <x v="571"/>
    <x v="0"/>
    <x v="3"/>
    <x v="10"/>
    <x v="1"/>
    <x v="2"/>
    <x v="5"/>
    <n v="102"/>
    <n v="40"/>
    <n v="0.01"/>
    <x v="205"/>
    <x v="555"/>
    <n v="4727.54"/>
    <n v="0.85"/>
    <x v="0"/>
  </r>
  <r>
    <x v="117"/>
    <x v="572"/>
    <x v="0"/>
    <x v="0"/>
    <x v="0"/>
    <x v="3"/>
    <x v="1"/>
    <x v="3"/>
    <n v="175"/>
    <n v="120"/>
    <n v="0.01"/>
    <x v="351"/>
    <x v="483"/>
    <n v="20345.919999999998"/>
    <n v="1.02"/>
    <x v="1"/>
  </r>
  <r>
    <x v="142"/>
    <x v="573"/>
    <x v="3"/>
    <x v="0"/>
    <x v="7"/>
    <x v="4"/>
    <x v="0"/>
    <x v="0"/>
    <n v="157"/>
    <n v="35"/>
    <n v="0.02"/>
    <x v="336"/>
    <x v="556"/>
    <n v="6322.27"/>
    <n v="0.85"/>
    <x v="1"/>
  </r>
  <r>
    <x v="28"/>
    <x v="574"/>
    <x v="0"/>
    <x v="2"/>
    <x v="4"/>
    <x v="4"/>
    <x v="1"/>
    <x v="1"/>
    <n v="55"/>
    <n v="250"/>
    <n v="0.11"/>
    <x v="391"/>
    <x v="557"/>
    <n v="11518.67"/>
    <n v="1.06"/>
    <x v="1"/>
  </r>
  <r>
    <x v="21"/>
    <x v="575"/>
    <x v="0"/>
    <x v="0"/>
    <x v="7"/>
    <x v="0"/>
    <x v="0"/>
    <x v="2"/>
    <n v="78"/>
    <n v="180"/>
    <n v="0.1"/>
    <x v="104"/>
    <x v="558"/>
    <n v="12091.22"/>
    <n v="1.05"/>
    <x v="1"/>
  </r>
  <r>
    <x v="7"/>
    <x v="576"/>
    <x v="4"/>
    <x v="2"/>
    <x v="4"/>
    <x v="5"/>
    <x v="0"/>
    <x v="0"/>
    <n v="146"/>
    <n v="35"/>
    <n v="7.0000000000000007E-2"/>
    <x v="392"/>
    <x v="559"/>
    <n v="5590.97"/>
    <n v="0.85"/>
    <x v="1"/>
  </r>
  <r>
    <x v="168"/>
    <x v="577"/>
    <x v="4"/>
    <x v="3"/>
    <x v="9"/>
    <x v="1"/>
    <x v="0"/>
    <x v="2"/>
    <n v="66"/>
    <n v="180"/>
    <n v="0.04"/>
    <x v="238"/>
    <x v="560"/>
    <n v="12445.53"/>
    <n v="0.92"/>
    <x v="1"/>
  </r>
  <r>
    <x v="94"/>
    <x v="578"/>
    <x v="2"/>
    <x v="1"/>
    <x v="1"/>
    <x v="0"/>
    <x v="2"/>
    <x v="5"/>
    <n v="173"/>
    <n v="40"/>
    <n v="0.13"/>
    <x v="393"/>
    <x v="561"/>
    <n v="5860.04"/>
    <n v="1.03"/>
    <x v="1"/>
  </r>
  <r>
    <x v="87"/>
    <x v="579"/>
    <x v="0"/>
    <x v="3"/>
    <x v="5"/>
    <x v="0"/>
    <x v="0"/>
    <x v="2"/>
    <n v="47"/>
    <n v="180"/>
    <n v="0.06"/>
    <x v="394"/>
    <x v="562"/>
    <n v="7173.16"/>
    <n v="1.1100000000000001"/>
    <x v="1"/>
  </r>
  <r>
    <x v="80"/>
    <x v="580"/>
    <x v="0"/>
    <x v="0"/>
    <x v="7"/>
    <x v="5"/>
    <x v="0"/>
    <x v="2"/>
    <n v="123"/>
    <n v="180"/>
    <n v="0.06"/>
    <x v="395"/>
    <x v="563"/>
    <n v="19548.57"/>
    <n v="1.06"/>
    <x v="1"/>
  </r>
  <r>
    <x v="144"/>
    <x v="581"/>
    <x v="1"/>
    <x v="0"/>
    <x v="7"/>
    <x v="0"/>
    <x v="0"/>
    <x v="0"/>
    <n v="169"/>
    <n v="35"/>
    <n v="0.11"/>
    <x v="271"/>
    <x v="564"/>
    <n v="6044.43"/>
    <n v="0.87"/>
    <x v="0"/>
  </r>
  <r>
    <x v="1"/>
    <x v="582"/>
    <x v="5"/>
    <x v="0"/>
    <x v="7"/>
    <x v="5"/>
    <x v="0"/>
    <x v="0"/>
    <n v="7"/>
    <n v="35"/>
    <n v="0.03"/>
    <x v="396"/>
    <x v="565"/>
    <n v="263.29000000000002"/>
    <n v="0.9"/>
    <x v="0"/>
  </r>
  <r>
    <x v="38"/>
    <x v="583"/>
    <x v="5"/>
    <x v="3"/>
    <x v="5"/>
    <x v="0"/>
    <x v="0"/>
    <x v="2"/>
    <n v="78"/>
    <n v="180"/>
    <n v="0.08"/>
    <x v="104"/>
    <x v="566"/>
    <n v="14759.68"/>
    <n v="0.88"/>
    <x v="0"/>
  </r>
  <r>
    <x v="129"/>
    <x v="584"/>
    <x v="3"/>
    <x v="3"/>
    <x v="5"/>
    <x v="3"/>
    <x v="0"/>
    <x v="0"/>
    <n v="85"/>
    <n v="35"/>
    <n v="0.15"/>
    <x v="361"/>
    <x v="567"/>
    <n v="2583.2600000000002"/>
    <n v="0.98"/>
    <x v="1"/>
  </r>
  <r>
    <x v="58"/>
    <x v="585"/>
    <x v="3"/>
    <x v="0"/>
    <x v="7"/>
    <x v="2"/>
    <x v="2"/>
    <x v="5"/>
    <n v="123"/>
    <n v="40"/>
    <n v="0.13"/>
    <x v="54"/>
    <x v="568"/>
    <n v="3511.77"/>
    <n v="1.22"/>
    <x v="0"/>
  </r>
  <r>
    <x v="145"/>
    <x v="586"/>
    <x v="4"/>
    <x v="2"/>
    <x v="8"/>
    <x v="1"/>
    <x v="0"/>
    <x v="0"/>
    <n v="66"/>
    <n v="35"/>
    <n v="0.13"/>
    <x v="397"/>
    <x v="569"/>
    <n v="2137.66"/>
    <n v="0.94"/>
    <x v="0"/>
  </r>
  <r>
    <x v="140"/>
    <x v="587"/>
    <x v="5"/>
    <x v="1"/>
    <x v="3"/>
    <x v="0"/>
    <x v="0"/>
    <x v="2"/>
    <n v="185"/>
    <n v="180"/>
    <n v="7.0000000000000007E-2"/>
    <x v="398"/>
    <x v="570"/>
    <n v="31573"/>
    <n v="0.98"/>
    <x v="1"/>
  </r>
  <r>
    <x v="162"/>
    <x v="588"/>
    <x v="3"/>
    <x v="2"/>
    <x v="6"/>
    <x v="4"/>
    <x v="2"/>
    <x v="5"/>
    <n v="132"/>
    <n v="40"/>
    <n v="0.03"/>
    <x v="171"/>
    <x v="571"/>
    <n v="4643.37"/>
    <n v="1.1000000000000001"/>
    <x v="0"/>
  </r>
  <r>
    <x v="57"/>
    <x v="589"/>
    <x v="2"/>
    <x v="1"/>
    <x v="3"/>
    <x v="1"/>
    <x v="0"/>
    <x v="0"/>
    <n v="93"/>
    <n v="35"/>
    <n v="0.02"/>
    <x v="399"/>
    <x v="572"/>
    <n v="3676.8"/>
    <n v="0.87"/>
    <x v="0"/>
  </r>
  <r>
    <x v="128"/>
    <x v="590"/>
    <x v="0"/>
    <x v="3"/>
    <x v="9"/>
    <x v="3"/>
    <x v="1"/>
    <x v="3"/>
    <n v="26"/>
    <n v="120"/>
    <n v="0.09"/>
    <x v="175"/>
    <x v="573"/>
    <n v="2885.31"/>
    <n v="0.98"/>
    <x v="0"/>
  </r>
  <r>
    <x v="117"/>
    <x v="591"/>
    <x v="3"/>
    <x v="2"/>
    <x v="8"/>
    <x v="2"/>
    <x v="2"/>
    <x v="5"/>
    <n v="129"/>
    <n v="40"/>
    <n v="0.1"/>
    <x v="400"/>
    <x v="574"/>
    <n v="4024.22"/>
    <n v="1.1499999999999999"/>
    <x v="0"/>
  </r>
  <r>
    <x v="14"/>
    <x v="592"/>
    <x v="3"/>
    <x v="3"/>
    <x v="9"/>
    <x v="1"/>
    <x v="0"/>
    <x v="2"/>
    <n v="24"/>
    <n v="180"/>
    <n v="0.05"/>
    <x v="401"/>
    <x v="575"/>
    <n v="3719.3"/>
    <n v="1.1000000000000001"/>
    <x v="0"/>
  </r>
  <r>
    <x v="49"/>
    <x v="593"/>
    <x v="5"/>
    <x v="1"/>
    <x v="3"/>
    <x v="3"/>
    <x v="0"/>
    <x v="2"/>
    <n v="175"/>
    <n v="180"/>
    <n v="0.08"/>
    <x v="309"/>
    <x v="576"/>
    <n v="24854.75"/>
    <n v="1.17"/>
    <x v="0"/>
  </r>
  <r>
    <x v="54"/>
    <x v="594"/>
    <x v="1"/>
    <x v="0"/>
    <x v="0"/>
    <x v="1"/>
    <x v="0"/>
    <x v="2"/>
    <n v="142"/>
    <n v="180"/>
    <n v="0.03"/>
    <x v="26"/>
    <x v="577"/>
    <n v="23505.63"/>
    <n v="1.05"/>
    <x v="0"/>
  </r>
  <r>
    <x v="168"/>
    <x v="595"/>
    <x v="1"/>
    <x v="2"/>
    <x v="6"/>
    <x v="1"/>
    <x v="2"/>
    <x v="5"/>
    <n v="9"/>
    <n v="40"/>
    <n v="0.08"/>
    <x v="402"/>
    <x v="578"/>
    <n v="306.37"/>
    <n v="1.08"/>
    <x v="1"/>
  </r>
  <r>
    <x v="117"/>
    <x v="596"/>
    <x v="5"/>
    <x v="1"/>
    <x v="3"/>
    <x v="2"/>
    <x v="1"/>
    <x v="1"/>
    <n v="152"/>
    <n v="250"/>
    <n v="0"/>
    <x v="403"/>
    <x v="579"/>
    <n v="38512.25"/>
    <n v="0.99"/>
    <x v="0"/>
  </r>
  <r>
    <x v="150"/>
    <x v="597"/>
    <x v="5"/>
    <x v="3"/>
    <x v="10"/>
    <x v="5"/>
    <x v="0"/>
    <x v="2"/>
    <n v="157"/>
    <n v="180"/>
    <n v="0.09"/>
    <x v="278"/>
    <x v="580"/>
    <n v="30103.23"/>
    <n v="0.85"/>
    <x v="1"/>
  </r>
  <r>
    <x v="55"/>
    <x v="598"/>
    <x v="1"/>
    <x v="2"/>
    <x v="8"/>
    <x v="3"/>
    <x v="0"/>
    <x v="2"/>
    <n v="89"/>
    <n v="180"/>
    <n v="0.12"/>
    <x v="404"/>
    <x v="581"/>
    <n v="16763.919999999998"/>
    <n v="0.84"/>
    <x v="1"/>
  </r>
  <r>
    <x v="98"/>
    <x v="599"/>
    <x v="1"/>
    <x v="3"/>
    <x v="10"/>
    <x v="2"/>
    <x v="0"/>
    <x v="2"/>
    <n v="12"/>
    <n v="180"/>
    <n v="0.05"/>
    <x v="311"/>
    <x v="582"/>
    <n v="1899.87"/>
    <n v="1.08"/>
    <x v="0"/>
  </r>
  <r>
    <x v="90"/>
    <x v="600"/>
    <x v="1"/>
    <x v="2"/>
    <x v="4"/>
    <x v="3"/>
    <x v="0"/>
    <x v="0"/>
    <n v="137"/>
    <n v="35"/>
    <n v="0.11"/>
    <x v="14"/>
    <x v="583"/>
    <n v="3445.43"/>
    <n v="1.24"/>
    <x v="1"/>
  </r>
  <r>
    <x v="136"/>
    <x v="601"/>
    <x v="1"/>
    <x v="2"/>
    <x v="2"/>
    <x v="4"/>
    <x v="0"/>
    <x v="0"/>
    <n v="147"/>
    <n v="35"/>
    <n v="0.11"/>
    <x v="405"/>
    <x v="584"/>
    <n v="4268.17"/>
    <n v="1.07"/>
    <x v="1"/>
  </r>
  <r>
    <x v="131"/>
    <x v="602"/>
    <x v="1"/>
    <x v="0"/>
    <x v="0"/>
    <x v="3"/>
    <x v="0"/>
    <x v="0"/>
    <n v="68"/>
    <n v="35"/>
    <n v="0.13"/>
    <x v="406"/>
    <x v="585"/>
    <n v="1883.95"/>
    <n v="1.1000000000000001"/>
    <x v="1"/>
  </r>
  <r>
    <x v="161"/>
    <x v="603"/>
    <x v="2"/>
    <x v="0"/>
    <x v="7"/>
    <x v="3"/>
    <x v="0"/>
    <x v="0"/>
    <n v="191"/>
    <n v="35"/>
    <n v="0.08"/>
    <x v="407"/>
    <x v="586"/>
    <n v="5297.09"/>
    <n v="1.1599999999999999"/>
    <x v="1"/>
  </r>
  <r>
    <x v="106"/>
    <x v="604"/>
    <x v="0"/>
    <x v="1"/>
    <x v="1"/>
    <x v="2"/>
    <x v="0"/>
    <x v="2"/>
    <n v="174"/>
    <n v="180"/>
    <n v="0.1"/>
    <x v="90"/>
    <x v="587"/>
    <n v="29314.03"/>
    <n v="0.96"/>
    <x v="0"/>
  </r>
  <r>
    <x v="161"/>
    <x v="605"/>
    <x v="2"/>
    <x v="0"/>
    <x v="0"/>
    <x v="5"/>
    <x v="1"/>
    <x v="3"/>
    <n v="144"/>
    <n v="120"/>
    <n v="0.12"/>
    <x v="408"/>
    <x v="588"/>
    <n v="16902.75"/>
    <n v="0.9"/>
    <x v="0"/>
  </r>
  <r>
    <x v="114"/>
    <x v="606"/>
    <x v="4"/>
    <x v="2"/>
    <x v="6"/>
    <x v="4"/>
    <x v="2"/>
    <x v="4"/>
    <n v="67"/>
    <n v="30"/>
    <n v="0.03"/>
    <x v="409"/>
    <x v="589"/>
    <n v="2280.87"/>
    <n v="0.85"/>
    <x v="1"/>
  </r>
  <r>
    <x v="28"/>
    <x v="607"/>
    <x v="3"/>
    <x v="0"/>
    <x v="0"/>
    <x v="0"/>
    <x v="0"/>
    <x v="2"/>
    <n v="90"/>
    <n v="180"/>
    <n v="0"/>
    <x v="290"/>
    <x v="590"/>
    <n v="13162.18"/>
    <n v="1.23"/>
    <x v="1"/>
  </r>
  <r>
    <x v="71"/>
    <x v="608"/>
    <x v="5"/>
    <x v="1"/>
    <x v="3"/>
    <x v="0"/>
    <x v="0"/>
    <x v="2"/>
    <n v="164"/>
    <n v="180"/>
    <n v="0.12"/>
    <x v="179"/>
    <x v="591"/>
    <n v="23097.86"/>
    <n v="1.1200000000000001"/>
    <x v="1"/>
  </r>
  <r>
    <x v="82"/>
    <x v="609"/>
    <x v="5"/>
    <x v="0"/>
    <x v="7"/>
    <x v="5"/>
    <x v="1"/>
    <x v="3"/>
    <n v="103"/>
    <n v="120"/>
    <n v="0.09"/>
    <x v="410"/>
    <x v="592"/>
    <n v="11029.18"/>
    <n v="1.02"/>
    <x v="0"/>
  </r>
  <r>
    <x v="72"/>
    <x v="610"/>
    <x v="0"/>
    <x v="2"/>
    <x v="6"/>
    <x v="4"/>
    <x v="2"/>
    <x v="5"/>
    <n v="8"/>
    <n v="40"/>
    <n v="0.04"/>
    <x v="120"/>
    <x v="131"/>
    <n v="269.49"/>
    <n v="1.1399999999999999"/>
    <x v="1"/>
  </r>
  <r>
    <x v="43"/>
    <x v="611"/>
    <x v="1"/>
    <x v="2"/>
    <x v="8"/>
    <x v="2"/>
    <x v="2"/>
    <x v="4"/>
    <n v="40"/>
    <n v="30"/>
    <n v="0.04"/>
    <x v="411"/>
    <x v="593"/>
    <n v="1073.6500000000001"/>
    <n v="1.07"/>
    <x v="0"/>
  </r>
  <r>
    <x v="13"/>
    <x v="612"/>
    <x v="1"/>
    <x v="3"/>
    <x v="10"/>
    <x v="0"/>
    <x v="0"/>
    <x v="2"/>
    <n v="6"/>
    <n v="180"/>
    <n v="0.15"/>
    <x v="44"/>
    <x v="594"/>
    <n v="929.22"/>
    <n v="0.99"/>
    <x v="1"/>
  </r>
  <r>
    <x v="110"/>
    <x v="613"/>
    <x v="3"/>
    <x v="2"/>
    <x v="6"/>
    <x v="2"/>
    <x v="0"/>
    <x v="0"/>
    <n v="139"/>
    <n v="35"/>
    <n v="0.13"/>
    <x v="412"/>
    <x v="595"/>
    <n v="3948"/>
    <n v="1.07"/>
    <x v="1"/>
  </r>
  <r>
    <x v="36"/>
    <x v="614"/>
    <x v="5"/>
    <x v="3"/>
    <x v="10"/>
    <x v="2"/>
    <x v="0"/>
    <x v="2"/>
    <n v="152"/>
    <n v="180"/>
    <n v="0.11"/>
    <x v="413"/>
    <x v="596"/>
    <n v="26836.32"/>
    <n v="0.91"/>
    <x v="1"/>
  </r>
  <r>
    <x v="86"/>
    <x v="615"/>
    <x v="1"/>
    <x v="2"/>
    <x v="6"/>
    <x v="3"/>
    <x v="1"/>
    <x v="1"/>
    <n v="76"/>
    <n v="250"/>
    <n v="0.14000000000000001"/>
    <x v="414"/>
    <x v="597"/>
    <n v="19565.169999999998"/>
    <n v="0.84"/>
    <x v="0"/>
  </r>
  <r>
    <x v="53"/>
    <x v="616"/>
    <x v="0"/>
    <x v="3"/>
    <x v="5"/>
    <x v="2"/>
    <x v="2"/>
    <x v="4"/>
    <n v="179"/>
    <n v="30"/>
    <n v="0.1"/>
    <x v="371"/>
    <x v="598"/>
    <n v="4198.84"/>
    <n v="1.1499999999999999"/>
    <x v="0"/>
  </r>
  <r>
    <x v="120"/>
    <x v="617"/>
    <x v="4"/>
    <x v="1"/>
    <x v="1"/>
    <x v="1"/>
    <x v="1"/>
    <x v="3"/>
    <n v="144"/>
    <n v="120"/>
    <n v="0.05"/>
    <x v="408"/>
    <x v="599"/>
    <n v="15702.12"/>
    <n v="1.05"/>
    <x v="1"/>
  </r>
  <r>
    <x v="96"/>
    <x v="618"/>
    <x v="0"/>
    <x v="3"/>
    <x v="5"/>
    <x v="1"/>
    <x v="1"/>
    <x v="3"/>
    <n v="183"/>
    <n v="120"/>
    <n v="0.04"/>
    <x v="153"/>
    <x v="600"/>
    <n v="20033.46"/>
    <n v="1.05"/>
    <x v="0"/>
  </r>
  <r>
    <x v="169"/>
    <x v="619"/>
    <x v="4"/>
    <x v="3"/>
    <x v="5"/>
    <x v="5"/>
    <x v="1"/>
    <x v="1"/>
    <n v="145"/>
    <n v="250"/>
    <n v="0.08"/>
    <x v="415"/>
    <x v="601"/>
    <n v="30890.98"/>
    <n v="1.08"/>
    <x v="1"/>
  </r>
  <r>
    <x v="77"/>
    <x v="620"/>
    <x v="3"/>
    <x v="3"/>
    <x v="9"/>
    <x v="3"/>
    <x v="1"/>
    <x v="1"/>
    <n v="44"/>
    <n v="250"/>
    <n v="0.1"/>
    <x v="350"/>
    <x v="602"/>
    <n v="9204.36"/>
    <n v="1.08"/>
    <x v="1"/>
  </r>
  <r>
    <x v="90"/>
    <x v="621"/>
    <x v="3"/>
    <x v="2"/>
    <x v="6"/>
    <x v="3"/>
    <x v="1"/>
    <x v="1"/>
    <n v="122"/>
    <n v="250"/>
    <n v="0.12"/>
    <x v="416"/>
    <x v="603"/>
    <n v="23543.83"/>
    <n v="1.1399999999999999"/>
    <x v="0"/>
  </r>
  <r>
    <x v="26"/>
    <x v="622"/>
    <x v="3"/>
    <x v="3"/>
    <x v="9"/>
    <x v="4"/>
    <x v="2"/>
    <x v="4"/>
    <n v="69"/>
    <n v="30"/>
    <n v="0.04"/>
    <x v="417"/>
    <x v="604"/>
    <n v="2118.2399999999998"/>
    <n v="0.94"/>
    <x v="0"/>
  </r>
  <r>
    <x v="170"/>
    <x v="623"/>
    <x v="5"/>
    <x v="1"/>
    <x v="1"/>
    <x v="5"/>
    <x v="0"/>
    <x v="0"/>
    <n v="57"/>
    <n v="35"/>
    <n v="0.1"/>
    <x v="418"/>
    <x v="605"/>
    <n v="1852.84"/>
    <n v="0.97"/>
    <x v="0"/>
  </r>
  <r>
    <x v="132"/>
    <x v="624"/>
    <x v="1"/>
    <x v="3"/>
    <x v="9"/>
    <x v="4"/>
    <x v="1"/>
    <x v="3"/>
    <n v="158"/>
    <n v="120"/>
    <n v="0.02"/>
    <x v="419"/>
    <x v="606"/>
    <n v="18224.34"/>
    <n v="1.02"/>
    <x v="1"/>
  </r>
  <r>
    <x v="171"/>
    <x v="625"/>
    <x v="0"/>
    <x v="1"/>
    <x v="3"/>
    <x v="3"/>
    <x v="2"/>
    <x v="4"/>
    <n v="114"/>
    <n v="30"/>
    <n v="7.0000000000000007E-2"/>
    <x v="420"/>
    <x v="607"/>
    <n v="3701.71"/>
    <n v="0.86"/>
    <x v="0"/>
  </r>
  <r>
    <x v="165"/>
    <x v="626"/>
    <x v="5"/>
    <x v="0"/>
    <x v="7"/>
    <x v="1"/>
    <x v="0"/>
    <x v="0"/>
    <n v="57"/>
    <n v="35"/>
    <n v="0.05"/>
    <x v="418"/>
    <x v="608"/>
    <n v="1859.93"/>
    <n v="1.02"/>
    <x v="0"/>
  </r>
  <r>
    <x v="7"/>
    <x v="627"/>
    <x v="3"/>
    <x v="2"/>
    <x v="2"/>
    <x v="3"/>
    <x v="1"/>
    <x v="3"/>
    <n v="75"/>
    <n v="120"/>
    <n v="7.0000000000000007E-2"/>
    <x v="1"/>
    <x v="1"/>
    <n v="9776.36"/>
    <n v="0.86"/>
    <x v="1"/>
  </r>
  <r>
    <x v="55"/>
    <x v="628"/>
    <x v="4"/>
    <x v="1"/>
    <x v="1"/>
    <x v="2"/>
    <x v="0"/>
    <x v="2"/>
    <n v="181"/>
    <n v="180"/>
    <n v="0.08"/>
    <x v="421"/>
    <x v="609"/>
    <n v="30897.439999999999"/>
    <n v="0.97"/>
    <x v="0"/>
  </r>
  <r>
    <x v="57"/>
    <x v="629"/>
    <x v="0"/>
    <x v="3"/>
    <x v="9"/>
    <x v="1"/>
    <x v="1"/>
    <x v="1"/>
    <n v="14"/>
    <n v="250"/>
    <n v="0.09"/>
    <x v="257"/>
    <x v="610"/>
    <n v="3287.03"/>
    <n v="0.97"/>
    <x v="0"/>
  </r>
  <r>
    <x v="145"/>
    <x v="630"/>
    <x v="1"/>
    <x v="3"/>
    <x v="10"/>
    <x v="4"/>
    <x v="1"/>
    <x v="1"/>
    <n v="26"/>
    <n v="250"/>
    <n v="0.06"/>
    <x v="422"/>
    <x v="611"/>
    <n v="5016.1400000000003"/>
    <n v="1.22"/>
    <x v="1"/>
  </r>
  <r>
    <x v="172"/>
    <x v="631"/>
    <x v="4"/>
    <x v="2"/>
    <x v="4"/>
    <x v="4"/>
    <x v="0"/>
    <x v="0"/>
    <n v="21"/>
    <n v="35"/>
    <n v="0.02"/>
    <x v="423"/>
    <x v="612"/>
    <n v="825.68"/>
    <n v="0.87"/>
    <x v="1"/>
  </r>
  <r>
    <x v="37"/>
    <x v="632"/>
    <x v="0"/>
    <x v="3"/>
    <x v="5"/>
    <x v="2"/>
    <x v="2"/>
    <x v="4"/>
    <n v="97"/>
    <n v="30"/>
    <n v="0.11"/>
    <x v="424"/>
    <x v="613"/>
    <n v="2702.64"/>
    <n v="0.96"/>
    <x v="0"/>
  </r>
  <r>
    <x v="87"/>
    <x v="633"/>
    <x v="5"/>
    <x v="3"/>
    <x v="9"/>
    <x v="1"/>
    <x v="0"/>
    <x v="0"/>
    <n v="113"/>
    <n v="35"/>
    <n v="0.01"/>
    <x v="297"/>
    <x v="614"/>
    <n v="3679.42"/>
    <n v="1.06"/>
    <x v="0"/>
  </r>
  <r>
    <x v="68"/>
    <x v="634"/>
    <x v="3"/>
    <x v="2"/>
    <x v="4"/>
    <x v="5"/>
    <x v="1"/>
    <x v="1"/>
    <n v="14"/>
    <n v="250"/>
    <n v="0.15"/>
    <x v="257"/>
    <x v="615"/>
    <n v="3467.3"/>
    <n v="0.86"/>
    <x v="0"/>
  </r>
  <r>
    <x v="122"/>
    <x v="635"/>
    <x v="0"/>
    <x v="3"/>
    <x v="10"/>
    <x v="4"/>
    <x v="1"/>
    <x v="1"/>
    <n v="41"/>
    <n v="250"/>
    <n v="0.04"/>
    <x v="425"/>
    <x v="616"/>
    <n v="10476.219999999999"/>
    <n v="0.94"/>
    <x v="0"/>
  </r>
  <r>
    <x v="88"/>
    <x v="636"/>
    <x v="2"/>
    <x v="3"/>
    <x v="5"/>
    <x v="4"/>
    <x v="1"/>
    <x v="3"/>
    <n v="170"/>
    <n v="120"/>
    <n v="0.06"/>
    <x v="426"/>
    <x v="617"/>
    <n v="20493.150000000001"/>
    <n v="0.94"/>
    <x v="0"/>
  </r>
  <r>
    <x v="128"/>
    <x v="637"/>
    <x v="0"/>
    <x v="0"/>
    <x v="7"/>
    <x v="1"/>
    <x v="0"/>
    <x v="0"/>
    <n v="95"/>
    <n v="35"/>
    <n v="0.03"/>
    <x v="193"/>
    <x v="618"/>
    <n v="3545.52"/>
    <n v="0.91"/>
    <x v="0"/>
  </r>
  <r>
    <x v="160"/>
    <x v="638"/>
    <x v="0"/>
    <x v="3"/>
    <x v="10"/>
    <x v="0"/>
    <x v="1"/>
    <x v="3"/>
    <n v="170"/>
    <n v="120"/>
    <n v="0.04"/>
    <x v="426"/>
    <x v="619"/>
    <n v="17692.150000000001"/>
    <n v="1.1100000000000001"/>
    <x v="0"/>
  </r>
  <r>
    <x v="62"/>
    <x v="639"/>
    <x v="2"/>
    <x v="0"/>
    <x v="7"/>
    <x v="2"/>
    <x v="2"/>
    <x v="5"/>
    <n v="130"/>
    <n v="40"/>
    <n v="0.04"/>
    <x v="427"/>
    <x v="620"/>
    <n v="5036.8900000000003"/>
    <n v="0.99"/>
    <x v="0"/>
  </r>
  <r>
    <x v="170"/>
    <x v="640"/>
    <x v="4"/>
    <x v="0"/>
    <x v="0"/>
    <x v="0"/>
    <x v="2"/>
    <x v="5"/>
    <n v="34"/>
    <n v="40"/>
    <n v="0.01"/>
    <x v="428"/>
    <x v="621"/>
    <n v="1092.48"/>
    <n v="1.23"/>
    <x v="0"/>
  </r>
  <r>
    <x v="88"/>
    <x v="641"/>
    <x v="4"/>
    <x v="0"/>
    <x v="7"/>
    <x v="4"/>
    <x v="2"/>
    <x v="5"/>
    <n v="92"/>
    <n v="40"/>
    <n v="0.06"/>
    <x v="429"/>
    <x v="622"/>
    <n v="2829.33"/>
    <n v="1.22"/>
    <x v="1"/>
  </r>
  <r>
    <x v="66"/>
    <x v="642"/>
    <x v="4"/>
    <x v="1"/>
    <x v="1"/>
    <x v="0"/>
    <x v="0"/>
    <x v="0"/>
    <n v="32"/>
    <n v="35"/>
    <n v="0.02"/>
    <x v="184"/>
    <x v="275"/>
    <n v="1280.23"/>
    <n v="0.86"/>
    <x v="0"/>
  </r>
  <r>
    <x v="26"/>
    <x v="643"/>
    <x v="2"/>
    <x v="0"/>
    <x v="7"/>
    <x v="0"/>
    <x v="0"/>
    <x v="0"/>
    <n v="83"/>
    <n v="35"/>
    <n v="0.11"/>
    <x v="279"/>
    <x v="623"/>
    <n v="3043.53"/>
    <n v="0.85"/>
    <x v="0"/>
  </r>
  <r>
    <x v="31"/>
    <x v="644"/>
    <x v="0"/>
    <x v="2"/>
    <x v="2"/>
    <x v="2"/>
    <x v="0"/>
    <x v="0"/>
    <n v="119"/>
    <n v="35"/>
    <n v="0.06"/>
    <x v="91"/>
    <x v="624"/>
    <n v="4436.46"/>
    <n v="0.88"/>
    <x v="1"/>
  </r>
  <r>
    <x v="88"/>
    <x v="645"/>
    <x v="1"/>
    <x v="2"/>
    <x v="8"/>
    <x v="5"/>
    <x v="2"/>
    <x v="4"/>
    <n v="190"/>
    <n v="30"/>
    <n v="0.05"/>
    <x v="430"/>
    <x v="625"/>
    <n v="4956.46"/>
    <n v="1.0900000000000001"/>
    <x v="0"/>
  </r>
  <r>
    <x v="163"/>
    <x v="646"/>
    <x v="0"/>
    <x v="3"/>
    <x v="9"/>
    <x v="0"/>
    <x v="1"/>
    <x v="1"/>
    <n v="51"/>
    <n v="250"/>
    <n v="0.1"/>
    <x v="431"/>
    <x v="626"/>
    <n v="12102.67"/>
    <n v="0.95"/>
    <x v="1"/>
  </r>
  <r>
    <x v="128"/>
    <x v="647"/>
    <x v="3"/>
    <x v="0"/>
    <x v="7"/>
    <x v="1"/>
    <x v="1"/>
    <x v="1"/>
    <n v="18"/>
    <n v="250"/>
    <n v="0.05"/>
    <x v="254"/>
    <x v="627"/>
    <n v="4564.2"/>
    <n v="0.94"/>
    <x v="0"/>
  </r>
  <r>
    <x v="74"/>
    <x v="648"/>
    <x v="5"/>
    <x v="0"/>
    <x v="0"/>
    <x v="1"/>
    <x v="0"/>
    <x v="0"/>
    <n v="161"/>
    <n v="35"/>
    <n v="0.02"/>
    <x v="432"/>
    <x v="628"/>
    <n v="4676.68"/>
    <n v="1.18"/>
    <x v="1"/>
  </r>
  <r>
    <x v="114"/>
    <x v="649"/>
    <x v="1"/>
    <x v="3"/>
    <x v="9"/>
    <x v="5"/>
    <x v="2"/>
    <x v="5"/>
    <n v="137"/>
    <n v="40"/>
    <n v="0.1"/>
    <x v="433"/>
    <x v="629"/>
    <n v="5299.14"/>
    <n v="0.93"/>
    <x v="1"/>
  </r>
  <r>
    <x v="173"/>
    <x v="650"/>
    <x v="5"/>
    <x v="3"/>
    <x v="9"/>
    <x v="3"/>
    <x v="0"/>
    <x v="2"/>
    <n v="140"/>
    <n v="180"/>
    <n v="0.12"/>
    <x v="434"/>
    <x v="630"/>
    <n v="25288.81"/>
    <n v="0.88"/>
    <x v="0"/>
  </r>
  <r>
    <x v="125"/>
    <x v="651"/>
    <x v="3"/>
    <x v="2"/>
    <x v="4"/>
    <x v="4"/>
    <x v="0"/>
    <x v="0"/>
    <n v="72"/>
    <n v="35"/>
    <n v="0.01"/>
    <x v="63"/>
    <x v="631"/>
    <n v="2460.0100000000002"/>
    <n v="1.01"/>
    <x v="0"/>
  </r>
  <r>
    <x v="38"/>
    <x v="652"/>
    <x v="0"/>
    <x v="0"/>
    <x v="0"/>
    <x v="0"/>
    <x v="0"/>
    <x v="2"/>
    <n v="25"/>
    <n v="180"/>
    <n v="0.03"/>
    <x v="254"/>
    <x v="632"/>
    <n v="4587.43"/>
    <n v="0.95"/>
    <x v="0"/>
  </r>
  <r>
    <x v="57"/>
    <x v="653"/>
    <x v="5"/>
    <x v="3"/>
    <x v="5"/>
    <x v="0"/>
    <x v="0"/>
    <x v="2"/>
    <n v="37"/>
    <n v="180"/>
    <n v="0.03"/>
    <x v="435"/>
    <x v="633"/>
    <n v="6084.2"/>
    <n v="1.06"/>
    <x v="1"/>
  </r>
  <r>
    <x v="97"/>
    <x v="654"/>
    <x v="4"/>
    <x v="2"/>
    <x v="2"/>
    <x v="3"/>
    <x v="0"/>
    <x v="0"/>
    <n v="47"/>
    <n v="35"/>
    <n v="0.05"/>
    <x v="436"/>
    <x v="634"/>
    <n v="1829.34"/>
    <n v="0.85"/>
    <x v="1"/>
  </r>
  <r>
    <x v="42"/>
    <x v="655"/>
    <x v="1"/>
    <x v="1"/>
    <x v="3"/>
    <x v="1"/>
    <x v="0"/>
    <x v="0"/>
    <n v="38"/>
    <n v="35"/>
    <n v="0.06"/>
    <x v="196"/>
    <x v="635"/>
    <n v="1245.3699999999999"/>
    <n v="1"/>
    <x v="0"/>
  </r>
  <r>
    <x v="42"/>
    <x v="656"/>
    <x v="3"/>
    <x v="1"/>
    <x v="1"/>
    <x v="5"/>
    <x v="2"/>
    <x v="5"/>
    <n v="18"/>
    <n v="40"/>
    <n v="0.09"/>
    <x v="190"/>
    <x v="636"/>
    <n v="624.57000000000005"/>
    <n v="1.05"/>
    <x v="0"/>
  </r>
  <r>
    <x v="151"/>
    <x v="657"/>
    <x v="4"/>
    <x v="2"/>
    <x v="6"/>
    <x v="0"/>
    <x v="2"/>
    <x v="5"/>
    <n v="118"/>
    <n v="40"/>
    <n v="0.15"/>
    <x v="191"/>
    <x v="637"/>
    <n v="4717.33"/>
    <n v="0.85"/>
    <x v="0"/>
  </r>
  <r>
    <x v="119"/>
    <x v="658"/>
    <x v="2"/>
    <x v="3"/>
    <x v="10"/>
    <x v="5"/>
    <x v="1"/>
    <x v="3"/>
    <n v="138"/>
    <n v="120"/>
    <n v="0.02"/>
    <x v="289"/>
    <x v="638"/>
    <n v="14976.55"/>
    <n v="1.08"/>
    <x v="1"/>
  </r>
  <r>
    <x v="37"/>
    <x v="659"/>
    <x v="0"/>
    <x v="0"/>
    <x v="7"/>
    <x v="5"/>
    <x v="2"/>
    <x v="4"/>
    <n v="156"/>
    <n v="30"/>
    <n v="0.06"/>
    <x v="6"/>
    <x v="639"/>
    <n v="3792.62"/>
    <n v="1.1599999999999999"/>
    <x v="1"/>
  </r>
  <r>
    <x v="13"/>
    <x v="660"/>
    <x v="2"/>
    <x v="2"/>
    <x v="8"/>
    <x v="0"/>
    <x v="2"/>
    <x v="5"/>
    <n v="24"/>
    <n v="40"/>
    <n v="0.06"/>
    <x v="32"/>
    <x v="640"/>
    <n v="970.62"/>
    <n v="0.93"/>
    <x v="1"/>
  </r>
  <r>
    <x v="43"/>
    <x v="661"/>
    <x v="5"/>
    <x v="2"/>
    <x v="6"/>
    <x v="1"/>
    <x v="0"/>
    <x v="2"/>
    <n v="186"/>
    <n v="180"/>
    <n v="0.04"/>
    <x v="255"/>
    <x v="641"/>
    <n v="27128.7"/>
    <n v="1.18"/>
    <x v="0"/>
  </r>
  <r>
    <x v="139"/>
    <x v="662"/>
    <x v="4"/>
    <x v="0"/>
    <x v="0"/>
    <x v="5"/>
    <x v="1"/>
    <x v="1"/>
    <n v="58"/>
    <n v="250"/>
    <n v="0.06"/>
    <x v="70"/>
    <x v="642"/>
    <n v="11532.63"/>
    <n v="1.18"/>
    <x v="0"/>
  </r>
  <r>
    <x v="125"/>
    <x v="663"/>
    <x v="5"/>
    <x v="0"/>
    <x v="7"/>
    <x v="2"/>
    <x v="1"/>
    <x v="1"/>
    <n v="29"/>
    <n v="250"/>
    <n v="0.04"/>
    <x v="437"/>
    <x v="643"/>
    <n v="6909.24"/>
    <n v="1.01"/>
    <x v="1"/>
  </r>
  <r>
    <x v="78"/>
    <x v="664"/>
    <x v="5"/>
    <x v="1"/>
    <x v="3"/>
    <x v="1"/>
    <x v="1"/>
    <x v="3"/>
    <n v="31"/>
    <n v="120"/>
    <n v="0.12"/>
    <x v="438"/>
    <x v="644"/>
    <n v="2923.43"/>
    <n v="1.1200000000000001"/>
    <x v="1"/>
  </r>
  <r>
    <x v="22"/>
    <x v="665"/>
    <x v="4"/>
    <x v="0"/>
    <x v="0"/>
    <x v="0"/>
    <x v="0"/>
    <x v="2"/>
    <n v="21"/>
    <n v="180"/>
    <n v="0.04"/>
    <x v="139"/>
    <x v="645"/>
    <n v="2906.61"/>
    <n v="1.25"/>
    <x v="0"/>
  </r>
  <r>
    <x v="67"/>
    <x v="666"/>
    <x v="3"/>
    <x v="3"/>
    <x v="9"/>
    <x v="3"/>
    <x v="1"/>
    <x v="3"/>
    <n v="7"/>
    <n v="120"/>
    <n v="0"/>
    <x v="439"/>
    <x v="646"/>
    <n v="837.18"/>
    <n v="1"/>
    <x v="0"/>
  </r>
  <r>
    <x v="93"/>
    <x v="667"/>
    <x v="1"/>
    <x v="0"/>
    <x v="7"/>
    <x v="2"/>
    <x v="0"/>
    <x v="2"/>
    <n v="17"/>
    <n v="180"/>
    <n v="0.03"/>
    <x v="260"/>
    <x v="647"/>
    <n v="3043.37"/>
    <n v="0.98"/>
    <x v="1"/>
  </r>
  <r>
    <x v="64"/>
    <x v="668"/>
    <x v="0"/>
    <x v="1"/>
    <x v="3"/>
    <x v="5"/>
    <x v="1"/>
    <x v="3"/>
    <n v="124"/>
    <n v="120"/>
    <n v="0.09"/>
    <x v="108"/>
    <x v="648"/>
    <n v="14692.16"/>
    <n v="0.92"/>
    <x v="1"/>
  </r>
  <r>
    <x v="107"/>
    <x v="669"/>
    <x v="1"/>
    <x v="3"/>
    <x v="5"/>
    <x v="4"/>
    <x v="1"/>
    <x v="3"/>
    <n v="168"/>
    <n v="120"/>
    <n v="0.01"/>
    <x v="127"/>
    <x v="649"/>
    <n v="16266.6"/>
    <n v="1.23"/>
    <x v="1"/>
  </r>
  <r>
    <x v="25"/>
    <x v="670"/>
    <x v="3"/>
    <x v="3"/>
    <x v="9"/>
    <x v="1"/>
    <x v="0"/>
    <x v="2"/>
    <n v="19"/>
    <n v="180"/>
    <n v="0.01"/>
    <x v="420"/>
    <x v="650"/>
    <n v="3558.85"/>
    <n v="0.95"/>
    <x v="1"/>
  </r>
  <r>
    <x v="2"/>
    <x v="671"/>
    <x v="0"/>
    <x v="0"/>
    <x v="0"/>
    <x v="0"/>
    <x v="2"/>
    <x v="5"/>
    <n v="29"/>
    <n v="40"/>
    <n v="0.14000000000000001"/>
    <x v="440"/>
    <x v="651"/>
    <n v="981.83"/>
    <n v="1.02"/>
    <x v="1"/>
  </r>
  <r>
    <x v="159"/>
    <x v="672"/>
    <x v="4"/>
    <x v="3"/>
    <x v="10"/>
    <x v="4"/>
    <x v="1"/>
    <x v="1"/>
    <n v="57"/>
    <n v="250"/>
    <n v="0"/>
    <x v="441"/>
    <x v="652"/>
    <n v="12544.83"/>
    <n v="1.1399999999999999"/>
    <x v="0"/>
  </r>
  <r>
    <x v="53"/>
    <x v="673"/>
    <x v="5"/>
    <x v="2"/>
    <x v="4"/>
    <x v="1"/>
    <x v="1"/>
    <x v="1"/>
    <n v="75"/>
    <n v="250"/>
    <n v="0.14000000000000001"/>
    <x v="442"/>
    <x v="653"/>
    <n v="18930.16"/>
    <n v="0.85"/>
    <x v="1"/>
  </r>
  <r>
    <x v="77"/>
    <x v="674"/>
    <x v="2"/>
    <x v="0"/>
    <x v="7"/>
    <x v="5"/>
    <x v="2"/>
    <x v="5"/>
    <n v="75"/>
    <n v="40"/>
    <n v="0.1"/>
    <x v="102"/>
    <x v="497"/>
    <n v="3142.96"/>
    <n v="0.86"/>
    <x v="1"/>
  </r>
  <r>
    <x v="142"/>
    <x v="675"/>
    <x v="3"/>
    <x v="2"/>
    <x v="8"/>
    <x v="1"/>
    <x v="2"/>
    <x v="5"/>
    <n v="18"/>
    <n v="40"/>
    <n v="0.09"/>
    <x v="190"/>
    <x v="636"/>
    <n v="746.28"/>
    <n v="0.88"/>
    <x v="0"/>
  </r>
  <r>
    <x v="4"/>
    <x v="676"/>
    <x v="3"/>
    <x v="2"/>
    <x v="8"/>
    <x v="0"/>
    <x v="0"/>
    <x v="0"/>
    <n v="112"/>
    <n v="35"/>
    <n v="0.09"/>
    <x v="20"/>
    <x v="654"/>
    <n v="4227.63"/>
    <n v="0.84"/>
    <x v="0"/>
  </r>
  <r>
    <x v="129"/>
    <x v="677"/>
    <x v="5"/>
    <x v="2"/>
    <x v="2"/>
    <x v="3"/>
    <x v="1"/>
    <x v="1"/>
    <n v="21"/>
    <n v="250"/>
    <n v="0.08"/>
    <x v="164"/>
    <x v="655"/>
    <n v="5490.47"/>
    <n v="0.88"/>
    <x v="1"/>
  </r>
  <r>
    <x v="79"/>
    <x v="678"/>
    <x v="1"/>
    <x v="0"/>
    <x v="0"/>
    <x v="2"/>
    <x v="2"/>
    <x v="4"/>
    <n v="82"/>
    <n v="30"/>
    <n v="0.1"/>
    <x v="443"/>
    <x v="656"/>
    <n v="2532.84"/>
    <n v="0.87"/>
    <x v="1"/>
  </r>
  <r>
    <x v="146"/>
    <x v="679"/>
    <x v="2"/>
    <x v="3"/>
    <x v="9"/>
    <x v="1"/>
    <x v="0"/>
    <x v="2"/>
    <n v="52"/>
    <n v="180"/>
    <n v="0.04"/>
    <x v="207"/>
    <x v="657"/>
    <n v="10293.280000000001"/>
    <n v="0.87"/>
    <x v="0"/>
  </r>
  <r>
    <x v="113"/>
    <x v="680"/>
    <x v="3"/>
    <x v="2"/>
    <x v="2"/>
    <x v="0"/>
    <x v="1"/>
    <x v="1"/>
    <n v="140"/>
    <n v="250"/>
    <n v="0"/>
    <x v="444"/>
    <x v="658"/>
    <n v="41240.620000000003"/>
    <n v="0.85"/>
    <x v="0"/>
  </r>
  <r>
    <x v="160"/>
    <x v="681"/>
    <x v="2"/>
    <x v="1"/>
    <x v="1"/>
    <x v="3"/>
    <x v="2"/>
    <x v="5"/>
    <n v="113"/>
    <n v="40"/>
    <n v="0.04"/>
    <x v="52"/>
    <x v="659"/>
    <n v="4162.3599999999997"/>
    <n v="1.04"/>
    <x v="0"/>
  </r>
  <r>
    <x v="142"/>
    <x v="682"/>
    <x v="0"/>
    <x v="1"/>
    <x v="3"/>
    <x v="1"/>
    <x v="2"/>
    <x v="5"/>
    <n v="170"/>
    <n v="40"/>
    <n v="0.06"/>
    <x v="445"/>
    <x v="660"/>
    <n v="6948.61"/>
    <n v="0.92"/>
    <x v="0"/>
  </r>
  <r>
    <x v="130"/>
    <x v="683"/>
    <x v="2"/>
    <x v="2"/>
    <x v="2"/>
    <x v="4"/>
    <x v="2"/>
    <x v="4"/>
    <n v="140"/>
    <n v="30"/>
    <n v="0.14000000000000001"/>
    <x v="368"/>
    <x v="661"/>
    <n v="3687.86"/>
    <n v="0.98"/>
    <x v="0"/>
  </r>
  <r>
    <x v="7"/>
    <x v="684"/>
    <x v="2"/>
    <x v="3"/>
    <x v="9"/>
    <x v="3"/>
    <x v="0"/>
    <x v="2"/>
    <n v="77"/>
    <n v="180"/>
    <n v="0.05"/>
    <x v="21"/>
    <x v="662"/>
    <n v="12922"/>
    <n v="1.02"/>
    <x v="0"/>
  </r>
  <r>
    <x v="48"/>
    <x v="685"/>
    <x v="2"/>
    <x v="3"/>
    <x v="9"/>
    <x v="1"/>
    <x v="1"/>
    <x v="3"/>
    <n v="169"/>
    <n v="120"/>
    <n v="0.13"/>
    <x v="51"/>
    <x v="663"/>
    <n v="19562.63"/>
    <n v="0.9"/>
    <x v="1"/>
  </r>
  <r>
    <x v="163"/>
    <x v="686"/>
    <x v="0"/>
    <x v="1"/>
    <x v="3"/>
    <x v="1"/>
    <x v="1"/>
    <x v="1"/>
    <n v="159"/>
    <n v="250"/>
    <n v="0.13"/>
    <x v="446"/>
    <x v="664"/>
    <n v="40203"/>
    <n v="0.86"/>
    <x v="1"/>
  </r>
  <r>
    <x v="167"/>
    <x v="687"/>
    <x v="2"/>
    <x v="0"/>
    <x v="7"/>
    <x v="5"/>
    <x v="0"/>
    <x v="0"/>
    <n v="173"/>
    <n v="35"/>
    <n v="0.12"/>
    <x v="447"/>
    <x v="665"/>
    <n v="4804.91"/>
    <n v="1.1100000000000001"/>
    <x v="0"/>
  </r>
  <r>
    <x v="99"/>
    <x v="688"/>
    <x v="0"/>
    <x v="2"/>
    <x v="8"/>
    <x v="1"/>
    <x v="0"/>
    <x v="0"/>
    <n v="61"/>
    <n v="35"/>
    <n v="0.02"/>
    <x v="448"/>
    <x v="666"/>
    <n v="2252.91"/>
    <n v="0.93"/>
    <x v="1"/>
  </r>
  <r>
    <x v="50"/>
    <x v="689"/>
    <x v="1"/>
    <x v="0"/>
    <x v="7"/>
    <x v="3"/>
    <x v="0"/>
    <x v="0"/>
    <n v="31"/>
    <n v="35"/>
    <n v="0.11"/>
    <x v="449"/>
    <x v="667"/>
    <n v="798.94"/>
    <n v="1.21"/>
    <x v="0"/>
  </r>
  <r>
    <x v="20"/>
    <x v="690"/>
    <x v="5"/>
    <x v="0"/>
    <x v="0"/>
    <x v="0"/>
    <x v="0"/>
    <x v="0"/>
    <n v="128"/>
    <n v="35"/>
    <n v="0.12"/>
    <x v="450"/>
    <x v="668"/>
    <n v="3337.5"/>
    <n v="1.18"/>
    <x v="0"/>
  </r>
  <r>
    <x v="8"/>
    <x v="691"/>
    <x v="0"/>
    <x v="2"/>
    <x v="8"/>
    <x v="2"/>
    <x v="2"/>
    <x v="4"/>
    <n v="116"/>
    <n v="30"/>
    <n v="0.01"/>
    <x v="97"/>
    <x v="669"/>
    <n v="4001.8"/>
    <n v="0.86"/>
    <x v="0"/>
  </r>
  <r>
    <x v="60"/>
    <x v="692"/>
    <x v="4"/>
    <x v="2"/>
    <x v="6"/>
    <x v="5"/>
    <x v="1"/>
    <x v="1"/>
    <n v="181"/>
    <n v="250"/>
    <n v="0.12"/>
    <x v="451"/>
    <x v="670"/>
    <n v="35961.58"/>
    <n v="1.1100000000000001"/>
    <x v="1"/>
  </r>
  <r>
    <x v="163"/>
    <x v="693"/>
    <x v="3"/>
    <x v="2"/>
    <x v="4"/>
    <x v="3"/>
    <x v="2"/>
    <x v="5"/>
    <n v="88"/>
    <n v="40"/>
    <n v="0.1"/>
    <x v="452"/>
    <x v="167"/>
    <n v="3327.3"/>
    <n v="0.95"/>
    <x v="0"/>
  </r>
  <r>
    <x v="156"/>
    <x v="694"/>
    <x v="5"/>
    <x v="3"/>
    <x v="10"/>
    <x v="2"/>
    <x v="2"/>
    <x v="5"/>
    <n v="119"/>
    <n v="40"/>
    <n v="0.03"/>
    <x v="0"/>
    <x v="671"/>
    <n v="4369.22"/>
    <n v="1.06"/>
    <x v="1"/>
  </r>
  <r>
    <x v="163"/>
    <x v="695"/>
    <x v="3"/>
    <x v="3"/>
    <x v="10"/>
    <x v="5"/>
    <x v="2"/>
    <x v="4"/>
    <n v="80"/>
    <n v="30"/>
    <n v="0.03"/>
    <x v="282"/>
    <x v="672"/>
    <n v="2764.24"/>
    <n v="0.84"/>
    <x v="1"/>
  </r>
  <r>
    <x v="25"/>
    <x v="696"/>
    <x v="3"/>
    <x v="1"/>
    <x v="1"/>
    <x v="0"/>
    <x v="0"/>
    <x v="2"/>
    <n v="25"/>
    <n v="180"/>
    <n v="0.12"/>
    <x v="254"/>
    <x v="673"/>
    <n v="3217.22"/>
    <n v="1.23"/>
    <x v="1"/>
  </r>
  <r>
    <x v="154"/>
    <x v="697"/>
    <x v="1"/>
    <x v="2"/>
    <x v="8"/>
    <x v="3"/>
    <x v="0"/>
    <x v="2"/>
    <n v="73"/>
    <n v="180"/>
    <n v="0.01"/>
    <x v="453"/>
    <x v="674"/>
    <n v="11591.77"/>
    <n v="1.1200000000000001"/>
    <x v="0"/>
  </r>
  <r>
    <x v="60"/>
    <x v="698"/>
    <x v="3"/>
    <x v="2"/>
    <x v="6"/>
    <x v="3"/>
    <x v="0"/>
    <x v="2"/>
    <n v="85"/>
    <n v="180"/>
    <n v="0.05"/>
    <x v="454"/>
    <x v="675"/>
    <n v="15847.12"/>
    <n v="0.92"/>
    <x v="0"/>
  </r>
  <r>
    <x v="31"/>
    <x v="699"/>
    <x v="3"/>
    <x v="3"/>
    <x v="9"/>
    <x v="3"/>
    <x v="1"/>
    <x v="1"/>
    <n v="198"/>
    <n v="250"/>
    <n v="0.02"/>
    <x v="455"/>
    <x v="676"/>
    <n v="44486.99"/>
    <n v="1.0900000000000001"/>
    <x v="0"/>
  </r>
  <r>
    <x v="11"/>
    <x v="700"/>
    <x v="2"/>
    <x v="1"/>
    <x v="3"/>
    <x v="3"/>
    <x v="2"/>
    <x v="4"/>
    <n v="81"/>
    <n v="30"/>
    <n v="0"/>
    <x v="456"/>
    <x v="677"/>
    <n v="2395.8000000000002"/>
    <n v="1.01"/>
    <x v="1"/>
  </r>
  <r>
    <x v="58"/>
    <x v="701"/>
    <x v="5"/>
    <x v="1"/>
    <x v="1"/>
    <x v="2"/>
    <x v="1"/>
    <x v="3"/>
    <n v="38"/>
    <n v="120"/>
    <n v="7.0000000000000007E-2"/>
    <x v="332"/>
    <x v="678"/>
    <n v="4181.47"/>
    <n v="1.01"/>
    <x v="0"/>
  </r>
  <r>
    <x v="22"/>
    <x v="702"/>
    <x v="2"/>
    <x v="2"/>
    <x v="2"/>
    <x v="0"/>
    <x v="2"/>
    <x v="5"/>
    <n v="179"/>
    <n v="40"/>
    <n v="0.05"/>
    <x v="457"/>
    <x v="679"/>
    <n v="8016.37"/>
    <n v="0.85"/>
    <x v="0"/>
  </r>
  <r>
    <x v="121"/>
    <x v="703"/>
    <x v="5"/>
    <x v="2"/>
    <x v="2"/>
    <x v="3"/>
    <x v="0"/>
    <x v="0"/>
    <n v="58"/>
    <n v="35"/>
    <n v="0.11"/>
    <x v="213"/>
    <x v="680"/>
    <n v="1531.06"/>
    <n v="1.18"/>
    <x v="0"/>
  </r>
  <r>
    <x v="95"/>
    <x v="704"/>
    <x v="3"/>
    <x v="3"/>
    <x v="9"/>
    <x v="5"/>
    <x v="2"/>
    <x v="5"/>
    <n v="109"/>
    <n v="40"/>
    <n v="0.11"/>
    <x v="458"/>
    <x v="681"/>
    <n v="3481.77"/>
    <n v="1.1100000000000001"/>
    <x v="0"/>
  </r>
  <r>
    <x v="97"/>
    <x v="705"/>
    <x v="3"/>
    <x v="2"/>
    <x v="8"/>
    <x v="5"/>
    <x v="0"/>
    <x v="2"/>
    <n v="19"/>
    <n v="180"/>
    <n v="0.12"/>
    <x v="420"/>
    <x v="682"/>
    <n v="2854.05"/>
    <n v="1.05"/>
    <x v="0"/>
  </r>
  <r>
    <x v="24"/>
    <x v="706"/>
    <x v="1"/>
    <x v="0"/>
    <x v="0"/>
    <x v="1"/>
    <x v="1"/>
    <x v="3"/>
    <n v="154"/>
    <n v="120"/>
    <n v="0.09"/>
    <x v="459"/>
    <x v="683"/>
    <n v="17826.34"/>
    <n v="0.94"/>
    <x v="0"/>
  </r>
  <r>
    <x v="63"/>
    <x v="707"/>
    <x v="3"/>
    <x v="1"/>
    <x v="3"/>
    <x v="1"/>
    <x v="0"/>
    <x v="0"/>
    <n v="95"/>
    <n v="35"/>
    <n v="0.08"/>
    <x v="193"/>
    <x v="684"/>
    <n v="2487.79"/>
    <n v="1.23"/>
    <x v="0"/>
  </r>
  <r>
    <x v="147"/>
    <x v="708"/>
    <x v="5"/>
    <x v="3"/>
    <x v="5"/>
    <x v="1"/>
    <x v="0"/>
    <x v="2"/>
    <n v="137"/>
    <n v="180"/>
    <n v="0.06"/>
    <x v="370"/>
    <x v="685"/>
    <n v="20076.79"/>
    <n v="1.1499999999999999"/>
    <x v="0"/>
  </r>
  <r>
    <x v="174"/>
    <x v="709"/>
    <x v="3"/>
    <x v="2"/>
    <x v="4"/>
    <x v="4"/>
    <x v="2"/>
    <x v="4"/>
    <n v="63"/>
    <n v="30"/>
    <n v="0"/>
    <x v="319"/>
    <x v="686"/>
    <n v="2062.25"/>
    <n v="0.92"/>
    <x v="1"/>
  </r>
  <r>
    <x v="114"/>
    <x v="710"/>
    <x v="3"/>
    <x v="3"/>
    <x v="5"/>
    <x v="1"/>
    <x v="1"/>
    <x v="1"/>
    <n v="64"/>
    <n v="250"/>
    <n v="0"/>
    <x v="460"/>
    <x v="687"/>
    <n v="18048.02"/>
    <n v="0.89"/>
    <x v="1"/>
  </r>
  <r>
    <x v="70"/>
    <x v="711"/>
    <x v="0"/>
    <x v="3"/>
    <x v="5"/>
    <x v="4"/>
    <x v="1"/>
    <x v="1"/>
    <n v="97"/>
    <n v="250"/>
    <n v="0.1"/>
    <x v="461"/>
    <x v="688"/>
    <n v="23787.279999999999"/>
    <n v="0.92"/>
    <x v="0"/>
  </r>
  <r>
    <x v="136"/>
    <x v="712"/>
    <x v="1"/>
    <x v="1"/>
    <x v="1"/>
    <x v="0"/>
    <x v="0"/>
    <x v="0"/>
    <n v="146"/>
    <n v="35"/>
    <n v="0.12"/>
    <x v="392"/>
    <x v="689"/>
    <n v="4145.79"/>
    <n v="1.08"/>
    <x v="1"/>
  </r>
  <r>
    <x v="63"/>
    <x v="713"/>
    <x v="4"/>
    <x v="0"/>
    <x v="0"/>
    <x v="0"/>
    <x v="1"/>
    <x v="1"/>
    <n v="108"/>
    <n v="250"/>
    <n v="0.1"/>
    <x v="462"/>
    <x v="690"/>
    <n v="25527.98"/>
    <n v="0.95"/>
    <x v="1"/>
  </r>
  <r>
    <x v="103"/>
    <x v="714"/>
    <x v="0"/>
    <x v="1"/>
    <x v="3"/>
    <x v="3"/>
    <x v="2"/>
    <x v="5"/>
    <n v="179"/>
    <n v="40"/>
    <n v="0.14000000000000001"/>
    <x v="457"/>
    <x v="691"/>
    <n v="6345.14"/>
    <n v="0.97"/>
    <x v="1"/>
  </r>
  <r>
    <x v="92"/>
    <x v="715"/>
    <x v="0"/>
    <x v="3"/>
    <x v="9"/>
    <x v="3"/>
    <x v="2"/>
    <x v="4"/>
    <n v="114"/>
    <n v="30"/>
    <n v="0.13"/>
    <x v="420"/>
    <x v="692"/>
    <n v="3134.06"/>
    <n v="0.95"/>
    <x v="1"/>
  </r>
  <r>
    <x v="91"/>
    <x v="716"/>
    <x v="1"/>
    <x v="0"/>
    <x v="7"/>
    <x v="5"/>
    <x v="0"/>
    <x v="2"/>
    <n v="113"/>
    <n v="180"/>
    <n v="0.12"/>
    <x v="463"/>
    <x v="693"/>
    <n v="14481.13"/>
    <n v="1.24"/>
    <x v="1"/>
  </r>
  <r>
    <x v="155"/>
    <x v="717"/>
    <x v="5"/>
    <x v="2"/>
    <x v="6"/>
    <x v="4"/>
    <x v="1"/>
    <x v="3"/>
    <n v="79"/>
    <n v="120"/>
    <n v="0.15"/>
    <x v="464"/>
    <x v="694"/>
    <n v="7640.29"/>
    <n v="1.05"/>
    <x v="1"/>
  </r>
  <r>
    <x v="8"/>
    <x v="718"/>
    <x v="1"/>
    <x v="3"/>
    <x v="9"/>
    <x v="4"/>
    <x v="1"/>
    <x v="3"/>
    <n v="179"/>
    <n v="120"/>
    <n v="0.09"/>
    <x v="465"/>
    <x v="695"/>
    <n v="17565.37"/>
    <n v="1.1100000000000001"/>
    <x v="0"/>
  </r>
  <r>
    <x v="37"/>
    <x v="719"/>
    <x v="4"/>
    <x v="2"/>
    <x v="2"/>
    <x v="5"/>
    <x v="0"/>
    <x v="2"/>
    <n v="71"/>
    <n v="180"/>
    <n v="7.0000000000000007E-2"/>
    <x v="373"/>
    <x v="696"/>
    <n v="13846.49"/>
    <n v="0.86"/>
    <x v="1"/>
  </r>
  <r>
    <x v="63"/>
    <x v="720"/>
    <x v="2"/>
    <x v="0"/>
    <x v="7"/>
    <x v="5"/>
    <x v="1"/>
    <x v="3"/>
    <n v="117"/>
    <n v="120"/>
    <n v="7.0000000000000007E-2"/>
    <x v="104"/>
    <x v="501"/>
    <n v="11662.15"/>
    <n v="1.1200000000000001"/>
    <x v="1"/>
  </r>
  <r>
    <x v="23"/>
    <x v="721"/>
    <x v="4"/>
    <x v="3"/>
    <x v="10"/>
    <x v="1"/>
    <x v="2"/>
    <x v="5"/>
    <n v="198"/>
    <n v="40"/>
    <n v="0.08"/>
    <x v="117"/>
    <x v="697"/>
    <n v="6199.83"/>
    <n v="1.18"/>
    <x v="1"/>
  </r>
  <r>
    <x v="93"/>
    <x v="722"/>
    <x v="5"/>
    <x v="3"/>
    <x v="10"/>
    <x v="1"/>
    <x v="0"/>
    <x v="2"/>
    <n v="78"/>
    <n v="180"/>
    <n v="0.11"/>
    <x v="104"/>
    <x v="698"/>
    <n v="14594.97"/>
    <n v="0.86"/>
    <x v="1"/>
  </r>
  <r>
    <x v="152"/>
    <x v="723"/>
    <x v="2"/>
    <x v="0"/>
    <x v="7"/>
    <x v="4"/>
    <x v="1"/>
    <x v="1"/>
    <n v="139"/>
    <n v="250"/>
    <n v="0.1"/>
    <x v="199"/>
    <x v="699"/>
    <n v="34790.050000000003"/>
    <n v="0.9"/>
    <x v="0"/>
  </r>
  <r>
    <x v="135"/>
    <x v="724"/>
    <x v="4"/>
    <x v="2"/>
    <x v="2"/>
    <x v="1"/>
    <x v="2"/>
    <x v="5"/>
    <n v="187"/>
    <n v="40"/>
    <n v="7.0000000000000007E-2"/>
    <x v="466"/>
    <x v="700"/>
    <n v="7472.96"/>
    <n v="0.93"/>
    <x v="1"/>
  </r>
  <r>
    <x v="95"/>
    <x v="725"/>
    <x v="0"/>
    <x v="0"/>
    <x v="0"/>
    <x v="2"/>
    <x v="0"/>
    <x v="2"/>
    <n v="93"/>
    <n v="180"/>
    <n v="0"/>
    <x v="269"/>
    <x v="701"/>
    <n v="19242.259999999998"/>
    <n v="0.87"/>
    <x v="1"/>
  </r>
  <r>
    <x v="123"/>
    <x v="726"/>
    <x v="3"/>
    <x v="0"/>
    <x v="7"/>
    <x v="2"/>
    <x v="1"/>
    <x v="1"/>
    <n v="44"/>
    <n v="250"/>
    <n v="0.09"/>
    <x v="350"/>
    <x v="702"/>
    <n v="8487.19"/>
    <n v="1.18"/>
    <x v="1"/>
  </r>
  <r>
    <x v="67"/>
    <x v="727"/>
    <x v="5"/>
    <x v="2"/>
    <x v="8"/>
    <x v="2"/>
    <x v="0"/>
    <x v="2"/>
    <n v="60"/>
    <n v="180"/>
    <n v="0"/>
    <x v="33"/>
    <x v="425"/>
    <n v="12927.87"/>
    <n v="0.84"/>
    <x v="1"/>
  </r>
  <r>
    <x v="89"/>
    <x v="728"/>
    <x v="1"/>
    <x v="1"/>
    <x v="3"/>
    <x v="0"/>
    <x v="2"/>
    <x v="5"/>
    <n v="78"/>
    <n v="40"/>
    <n v="0.11"/>
    <x v="175"/>
    <x v="703"/>
    <n v="3213.39"/>
    <n v="0.86"/>
    <x v="1"/>
  </r>
  <r>
    <x v="90"/>
    <x v="729"/>
    <x v="5"/>
    <x v="3"/>
    <x v="10"/>
    <x v="0"/>
    <x v="2"/>
    <x v="5"/>
    <n v="18"/>
    <n v="40"/>
    <n v="0.14000000000000001"/>
    <x v="190"/>
    <x v="524"/>
    <n v="645.51"/>
    <n v="0.96"/>
    <x v="0"/>
  </r>
  <r>
    <x v="66"/>
    <x v="730"/>
    <x v="4"/>
    <x v="0"/>
    <x v="0"/>
    <x v="2"/>
    <x v="1"/>
    <x v="3"/>
    <n v="73"/>
    <n v="120"/>
    <n v="0.14000000000000001"/>
    <x v="173"/>
    <x v="704"/>
    <n v="8304.75"/>
    <n v="0.91"/>
    <x v="1"/>
  </r>
  <r>
    <x v="87"/>
    <x v="731"/>
    <x v="2"/>
    <x v="2"/>
    <x v="8"/>
    <x v="2"/>
    <x v="2"/>
    <x v="5"/>
    <n v="99"/>
    <n v="40"/>
    <n v="0"/>
    <x v="77"/>
    <x v="673"/>
    <n v="4046.43"/>
    <n v="0.98"/>
    <x v="0"/>
  </r>
  <r>
    <x v="121"/>
    <x v="732"/>
    <x v="0"/>
    <x v="0"/>
    <x v="7"/>
    <x v="0"/>
    <x v="1"/>
    <x v="1"/>
    <n v="185"/>
    <n v="250"/>
    <n v="0.09"/>
    <x v="291"/>
    <x v="705"/>
    <n v="49746.43"/>
    <n v="0.85"/>
    <x v="0"/>
  </r>
  <r>
    <x v="12"/>
    <x v="733"/>
    <x v="1"/>
    <x v="1"/>
    <x v="1"/>
    <x v="4"/>
    <x v="1"/>
    <x v="1"/>
    <n v="21"/>
    <n v="250"/>
    <n v="0.11"/>
    <x v="164"/>
    <x v="476"/>
    <n v="5153.6400000000003"/>
    <n v="0.91"/>
    <x v="0"/>
  </r>
  <r>
    <x v="136"/>
    <x v="734"/>
    <x v="3"/>
    <x v="1"/>
    <x v="3"/>
    <x v="0"/>
    <x v="0"/>
    <x v="0"/>
    <n v="52"/>
    <n v="35"/>
    <n v="0.11"/>
    <x v="146"/>
    <x v="706"/>
    <n v="1861.59"/>
    <n v="0.87"/>
    <x v="0"/>
  </r>
  <r>
    <x v="175"/>
    <x v="735"/>
    <x v="0"/>
    <x v="3"/>
    <x v="10"/>
    <x v="4"/>
    <x v="0"/>
    <x v="2"/>
    <n v="25"/>
    <n v="180"/>
    <n v="0.03"/>
    <x v="254"/>
    <x v="632"/>
    <n v="3617.38"/>
    <n v="1.21"/>
    <x v="0"/>
  </r>
  <r>
    <x v="133"/>
    <x v="736"/>
    <x v="5"/>
    <x v="3"/>
    <x v="10"/>
    <x v="5"/>
    <x v="0"/>
    <x v="0"/>
    <n v="76"/>
    <n v="35"/>
    <n v="0.04"/>
    <x v="467"/>
    <x v="707"/>
    <n v="2067.04"/>
    <n v="1.24"/>
    <x v="0"/>
  </r>
  <r>
    <x v="34"/>
    <x v="737"/>
    <x v="1"/>
    <x v="2"/>
    <x v="6"/>
    <x v="1"/>
    <x v="2"/>
    <x v="4"/>
    <n v="82"/>
    <n v="30"/>
    <n v="0.02"/>
    <x v="443"/>
    <x v="708"/>
    <n v="2490.5700000000002"/>
    <n v="0.97"/>
    <x v="1"/>
  </r>
  <r>
    <x v="119"/>
    <x v="738"/>
    <x v="4"/>
    <x v="1"/>
    <x v="1"/>
    <x v="1"/>
    <x v="1"/>
    <x v="3"/>
    <n v="155"/>
    <n v="120"/>
    <n v="7.0000000000000007E-2"/>
    <x v="468"/>
    <x v="709"/>
    <n v="15382.62"/>
    <n v="1.1200000000000001"/>
    <x v="1"/>
  </r>
  <r>
    <x v="93"/>
    <x v="739"/>
    <x v="3"/>
    <x v="2"/>
    <x v="8"/>
    <x v="0"/>
    <x v="2"/>
    <x v="4"/>
    <n v="161"/>
    <n v="30"/>
    <n v="0"/>
    <x v="243"/>
    <x v="655"/>
    <n v="4061.45"/>
    <n v="1.19"/>
    <x v="1"/>
  </r>
  <r>
    <x v="45"/>
    <x v="740"/>
    <x v="4"/>
    <x v="0"/>
    <x v="0"/>
    <x v="4"/>
    <x v="2"/>
    <x v="4"/>
    <n v="10"/>
    <n v="30"/>
    <n v="0.03"/>
    <x v="469"/>
    <x v="710"/>
    <n v="264.58999999999997"/>
    <n v="1.1000000000000001"/>
    <x v="0"/>
  </r>
  <r>
    <x v="70"/>
    <x v="741"/>
    <x v="0"/>
    <x v="1"/>
    <x v="3"/>
    <x v="2"/>
    <x v="0"/>
    <x v="0"/>
    <n v="133"/>
    <n v="35"/>
    <n v="0.04"/>
    <x v="216"/>
    <x v="711"/>
    <n v="5274.16"/>
    <n v="0.85"/>
    <x v="0"/>
  </r>
  <r>
    <x v="160"/>
    <x v="742"/>
    <x v="4"/>
    <x v="1"/>
    <x v="3"/>
    <x v="4"/>
    <x v="0"/>
    <x v="0"/>
    <n v="148"/>
    <n v="35"/>
    <n v="0.05"/>
    <x v="470"/>
    <x v="712"/>
    <n v="4017.64"/>
    <n v="1.22"/>
    <x v="0"/>
  </r>
  <r>
    <x v="64"/>
    <x v="743"/>
    <x v="0"/>
    <x v="3"/>
    <x v="10"/>
    <x v="0"/>
    <x v="0"/>
    <x v="0"/>
    <n v="197"/>
    <n v="35"/>
    <n v="0.08"/>
    <x v="471"/>
    <x v="713"/>
    <n v="5177.92"/>
    <n v="1.23"/>
    <x v="0"/>
  </r>
  <r>
    <x v="124"/>
    <x v="744"/>
    <x v="3"/>
    <x v="1"/>
    <x v="3"/>
    <x v="3"/>
    <x v="2"/>
    <x v="4"/>
    <n v="61"/>
    <n v="30"/>
    <n v="0.01"/>
    <x v="357"/>
    <x v="714"/>
    <n v="2005.99"/>
    <n v="0.9"/>
    <x v="1"/>
  </r>
  <r>
    <x v="69"/>
    <x v="745"/>
    <x v="0"/>
    <x v="0"/>
    <x v="7"/>
    <x v="5"/>
    <x v="2"/>
    <x v="4"/>
    <n v="34"/>
    <n v="30"/>
    <n v="0.11"/>
    <x v="339"/>
    <x v="715"/>
    <n v="732.16"/>
    <n v="1.24"/>
    <x v="1"/>
  </r>
  <r>
    <x v="116"/>
    <x v="746"/>
    <x v="4"/>
    <x v="1"/>
    <x v="1"/>
    <x v="4"/>
    <x v="0"/>
    <x v="2"/>
    <n v="57"/>
    <n v="180"/>
    <n v="0.13"/>
    <x v="318"/>
    <x v="426"/>
    <n v="10610.39"/>
    <n v="0.84"/>
    <x v="1"/>
  </r>
  <r>
    <x v="110"/>
    <x v="747"/>
    <x v="4"/>
    <x v="0"/>
    <x v="7"/>
    <x v="5"/>
    <x v="0"/>
    <x v="0"/>
    <n v="129"/>
    <n v="35"/>
    <n v="0.15"/>
    <x v="472"/>
    <x v="716"/>
    <n v="3293.64"/>
    <n v="1.17"/>
    <x v="1"/>
  </r>
  <r>
    <x v="103"/>
    <x v="748"/>
    <x v="1"/>
    <x v="0"/>
    <x v="7"/>
    <x v="4"/>
    <x v="0"/>
    <x v="0"/>
    <n v="72"/>
    <n v="35"/>
    <n v="0.1"/>
    <x v="63"/>
    <x v="717"/>
    <n v="2132.31"/>
    <n v="1.06"/>
    <x v="0"/>
  </r>
  <r>
    <x v="25"/>
    <x v="749"/>
    <x v="5"/>
    <x v="2"/>
    <x v="6"/>
    <x v="2"/>
    <x v="0"/>
    <x v="2"/>
    <n v="98"/>
    <n v="180"/>
    <n v="0"/>
    <x v="473"/>
    <x v="718"/>
    <n v="15968.7"/>
    <n v="1.1000000000000001"/>
    <x v="0"/>
  </r>
  <r>
    <x v="163"/>
    <x v="750"/>
    <x v="0"/>
    <x v="1"/>
    <x v="3"/>
    <x v="2"/>
    <x v="0"/>
    <x v="0"/>
    <n v="136"/>
    <n v="35"/>
    <n v="0.04"/>
    <x v="0"/>
    <x v="719"/>
    <n v="5439.48"/>
    <n v="0.84"/>
    <x v="0"/>
  </r>
  <r>
    <x v="148"/>
    <x v="751"/>
    <x v="5"/>
    <x v="3"/>
    <x v="5"/>
    <x v="2"/>
    <x v="1"/>
    <x v="3"/>
    <n v="158"/>
    <n v="120"/>
    <n v="0.11"/>
    <x v="419"/>
    <x v="720"/>
    <n v="17575.45"/>
    <n v="0.96"/>
    <x v="1"/>
  </r>
  <r>
    <x v="88"/>
    <x v="752"/>
    <x v="1"/>
    <x v="3"/>
    <x v="9"/>
    <x v="0"/>
    <x v="2"/>
    <x v="4"/>
    <n v="94"/>
    <n v="30"/>
    <n v="0.02"/>
    <x v="474"/>
    <x v="721"/>
    <n v="2819.57"/>
    <n v="0.98"/>
    <x v="0"/>
  </r>
  <r>
    <x v="161"/>
    <x v="753"/>
    <x v="3"/>
    <x v="2"/>
    <x v="2"/>
    <x v="0"/>
    <x v="0"/>
    <x v="0"/>
    <n v="73"/>
    <n v="35"/>
    <n v="0.05"/>
    <x v="475"/>
    <x v="722"/>
    <n v="2306.15"/>
    <n v="1.05"/>
    <x v="1"/>
  </r>
  <r>
    <x v="167"/>
    <x v="754"/>
    <x v="4"/>
    <x v="1"/>
    <x v="3"/>
    <x v="2"/>
    <x v="2"/>
    <x v="4"/>
    <n v="117"/>
    <n v="30"/>
    <n v="0.11"/>
    <x v="476"/>
    <x v="723"/>
    <n v="3397.94"/>
    <n v="0.92"/>
    <x v="1"/>
  </r>
  <r>
    <x v="12"/>
    <x v="755"/>
    <x v="3"/>
    <x v="1"/>
    <x v="1"/>
    <x v="5"/>
    <x v="0"/>
    <x v="0"/>
    <n v="21"/>
    <n v="35"/>
    <n v="0.04"/>
    <x v="423"/>
    <x v="724"/>
    <n v="672.85"/>
    <n v="1.05"/>
    <x v="1"/>
  </r>
  <r>
    <x v="126"/>
    <x v="756"/>
    <x v="2"/>
    <x v="0"/>
    <x v="0"/>
    <x v="0"/>
    <x v="1"/>
    <x v="3"/>
    <n v="53"/>
    <n v="120"/>
    <n v="0.06"/>
    <x v="29"/>
    <x v="725"/>
    <n v="6636.65"/>
    <n v="0.9"/>
    <x v="0"/>
  </r>
  <r>
    <x v="156"/>
    <x v="757"/>
    <x v="1"/>
    <x v="0"/>
    <x v="7"/>
    <x v="0"/>
    <x v="2"/>
    <x v="5"/>
    <n v="137"/>
    <n v="40"/>
    <n v="0.02"/>
    <x v="433"/>
    <x v="726"/>
    <n v="6373.41"/>
    <n v="0.84"/>
    <x v="0"/>
  </r>
  <r>
    <x v="126"/>
    <x v="758"/>
    <x v="0"/>
    <x v="3"/>
    <x v="10"/>
    <x v="2"/>
    <x v="1"/>
    <x v="3"/>
    <n v="37"/>
    <n v="120"/>
    <n v="0.06"/>
    <x v="170"/>
    <x v="727"/>
    <n v="4553.6400000000003"/>
    <n v="0.92"/>
    <x v="0"/>
  </r>
  <r>
    <x v="37"/>
    <x v="759"/>
    <x v="2"/>
    <x v="3"/>
    <x v="9"/>
    <x v="4"/>
    <x v="2"/>
    <x v="5"/>
    <n v="53"/>
    <n v="40"/>
    <n v="0.15"/>
    <x v="477"/>
    <x v="728"/>
    <n v="1902.05"/>
    <n v="0.95"/>
    <x v="0"/>
  </r>
  <r>
    <x v="98"/>
    <x v="760"/>
    <x v="1"/>
    <x v="1"/>
    <x v="1"/>
    <x v="0"/>
    <x v="2"/>
    <x v="5"/>
    <n v="19"/>
    <n v="40"/>
    <n v="0.11"/>
    <x v="253"/>
    <x v="729"/>
    <n v="781.49"/>
    <n v="0.87"/>
    <x v="1"/>
  </r>
  <r>
    <x v="74"/>
    <x v="761"/>
    <x v="0"/>
    <x v="2"/>
    <x v="8"/>
    <x v="1"/>
    <x v="2"/>
    <x v="4"/>
    <n v="81"/>
    <n v="30"/>
    <n v="0.06"/>
    <x v="456"/>
    <x v="730"/>
    <n v="2234.92"/>
    <n v="1.02"/>
    <x v="1"/>
  </r>
  <r>
    <x v="52"/>
    <x v="762"/>
    <x v="3"/>
    <x v="3"/>
    <x v="10"/>
    <x v="4"/>
    <x v="2"/>
    <x v="4"/>
    <n v="153"/>
    <n v="30"/>
    <n v="0.14000000000000001"/>
    <x v="478"/>
    <x v="731"/>
    <n v="3162.57"/>
    <n v="1.25"/>
    <x v="0"/>
  </r>
  <r>
    <x v="170"/>
    <x v="763"/>
    <x v="4"/>
    <x v="0"/>
    <x v="0"/>
    <x v="5"/>
    <x v="2"/>
    <x v="5"/>
    <n v="16"/>
    <n v="40"/>
    <n v="0.12"/>
    <x v="479"/>
    <x v="732"/>
    <n v="459.08"/>
    <n v="1.23"/>
    <x v="1"/>
  </r>
  <r>
    <x v="156"/>
    <x v="764"/>
    <x v="3"/>
    <x v="1"/>
    <x v="3"/>
    <x v="2"/>
    <x v="2"/>
    <x v="5"/>
    <n v="157"/>
    <n v="40"/>
    <n v="0.04"/>
    <x v="480"/>
    <x v="733"/>
    <n v="7201.21"/>
    <n v="0.84"/>
    <x v="0"/>
  </r>
  <r>
    <x v="160"/>
    <x v="765"/>
    <x v="2"/>
    <x v="2"/>
    <x v="2"/>
    <x v="4"/>
    <x v="1"/>
    <x v="3"/>
    <n v="36"/>
    <n v="120"/>
    <n v="0.08"/>
    <x v="401"/>
    <x v="734"/>
    <n v="3741.88"/>
    <n v="1.06"/>
    <x v="0"/>
  </r>
  <r>
    <x v="140"/>
    <x v="766"/>
    <x v="4"/>
    <x v="0"/>
    <x v="7"/>
    <x v="3"/>
    <x v="0"/>
    <x v="0"/>
    <n v="153"/>
    <n v="35"/>
    <n v="0.13"/>
    <x v="481"/>
    <x v="735"/>
    <n v="4496.41"/>
    <n v="1.04"/>
    <x v="1"/>
  </r>
  <r>
    <x v="69"/>
    <x v="767"/>
    <x v="2"/>
    <x v="2"/>
    <x v="6"/>
    <x v="4"/>
    <x v="2"/>
    <x v="5"/>
    <n v="77"/>
    <n v="40"/>
    <n v="0.09"/>
    <x v="482"/>
    <x v="736"/>
    <n v="3177.31"/>
    <n v="0.88"/>
    <x v="1"/>
  </r>
  <r>
    <x v="4"/>
    <x v="768"/>
    <x v="4"/>
    <x v="1"/>
    <x v="3"/>
    <x v="4"/>
    <x v="1"/>
    <x v="1"/>
    <n v="173"/>
    <n v="250"/>
    <n v="0.08"/>
    <x v="367"/>
    <x v="737"/>
    <n v="36717.279999999999"/>
    <n v="1.08"/>
    <x v="1"/>
  </r>
  <r>
    <x v="24"/>
    <x v="769"/>
    <x v="5"/>
    <x v="1"/>
    <x v="1"/>
    <x v="5"/>
    <x v="2"/>
    <x v="5"/>
    <n v="169"/>
    <n v="40"/>
    <n v="0.02"/>
    <x v="221"/>
    <x v="738"/>
    <n v="5425.31"/>
    <n v="1.22"/>
    <x v="0"/>
  </r>
  <r>
    <x v="50"/>
    <x v="770"/>
    <x v="5"/>
    <x v="3"/>
    <x v="9"/>
    <x v="1"/>
    <x v="2"/>
    <x v="5"/>
    <n v="67"/>
    <n v="40"/>
    <n v="0.12"/>
    <x v="226"/>
    <x v="739"/>
    <n v="1945.28"/>
    <n v="1.21"/>
    <x v="1"/>
  </r>
  <r>
    <x v="32"/>
    <x v="771"/>
    <x v="2"/>
    <x v="1"/>
    <x v="1"/>
    <x v="2"/>
    <x v="0"/>
    <x v="2"/>
    <n v="145"/>
    <n v="180"/>
    <n v="0.08"/>
    <x v="483"/>
    <x v="740"/>
    <n v="26220.39"/>
    <n v="0.92"/>
    <x v="0"/>
  </r>
  <r>
    <x v="22"/>
    <x v="772"/>
    <x v="5"/>
    <x v="3"/>
    <x v="5"/>
    <x v="3"/>
    <x v="1"/>
    <x v="3"/>
    <n v="164"/>
    <n v="120"/>
    <n v="0.02"/>
    <x v="268"/>
    <x v="741"/>
    <n v="18147.509999999998"/>
    <n v="1.06"/>
    <x v="1"/>
  </r>
  <r>
    <x v="18"/>
    <x v="773"/>
    <x v="2"/>
    <x v="1"/>
    <x v="3"/>
    <x v="0"/>
    <x v="2"/>
    <x v="4"/>
    <n v="87"/>
    <n v="30"/>
    <n v="0.11"/>
    <x v="484"/>
    <x v="742"/>
    <n v="1910.94"/>
    <n v="1.22"/>
    <x v="1"/>
  </r>
  <r>
    <x v="40"/>
    <x v="774"/>
    <x v="1"/>
    <x v="2"/>
    <x v="4"/>
    <x v="3"/>
    <x v="2"/>
    <x v="4"/>
    <n v="102"/>
    <n v="30"/>
    <n v="7.0000000000000007E-2"/>
    <x v="260"/>
    <x v="743"/>
    <n v="2730.61"/>
    <n v="1.04"/>
    <x v="0"/>
  </r>
  <r>
    <x v="81"/>
    <x v="775"/>
    <x v="3"/>
    <x v="1"/>
    <x v="1"/>
    <x v="3"/>
    <x v="1"/>
    <x v="1"/>
    <n v="57"/>
    <n v="250"/>
    <n v="0"/>
    <x v="441"/>
    <x v="652"/>
    <n v="12666.08"/>
    <n v="1.1299999999999999"/>
    <x v="0"/>
  </r>
  <r>
    <x v="7"/>
    <x v="776"/>
    <x v="1"/>
    <x v="0"/>
    <x v="0"/>
    <x v="2"/>
    <x v="1"/>
    <x v="3"/>
    <n v="21"/>
    <n v="120"/>
    <n v="0.08"/>
    <x v="63"/>
    <x v="744"/>
    <n v="2375.61"/>
    <n v="0.98"/>
    <x v="0"/>
  </r>
  <r>
    <x v="92"/>
    <x v="777"/>
    <x v="3"/>
    <x v="1"/>
    <x v="3"/>
    <x v="0"/>
    <x v="0"/>
    <x v="0"/>
    <n v="52"/>
    <n v="35"/>
    <n v="0.1"/>
    <x v="146"/>
    <x v="745"/>
    <n v="1863.37"/>
    <n v="0.88"/>
    <x v="0"/>
  </r>
  <r>
    <x v="107"/>
    <x v="778"/>
    <x v="2"/>
    <x v="0"/>
    <x v="7"/>
    <x v="2"/>
    <x v="1"/>
    <x v="1"/>
    <n v="200"/>
    <n v="250"/>
    <n v="0.09"/>
    <x v="283"/>
    <x v="746"/>
    <n v="42324.04"/>
    <n v="1.08"/>
    <x v="1"/>
  </r>
  <r>
    <x v="104"/>
    <x v="779"/>
    <x v="0"/>
    <x v="1"/>
    <x v="1"/>
    <x v="5"/>
    <x v="1"/>
    <x v="1"/>
    <n v="115"/>
    <n v="250"/>
    <n v="0.01"/>
    <x v="485"/>
    <x v="747"/>
    <n v="32940.720000000001"/>
    <n v="0.86"/>
    <x v="0"/>
  </r>
  <r>
    <x v="157"/>
    <x v="780"/>
    <x v="0"/>
    <x v="1"/>
    <x v="3"/>
    <x v="0"/>
    <x v="1"/>
    <x v="3"/>
    <n v="34"/>
    <n v="120"/>
    <n v="0.08"/>
    <x v="205"/>
    <x v="748"/>
    <n v="4388.43"/>
    <n v="0.86"/>
    <x v="1"/>
  </r>
  <r>
    <x v="133"/>
    <x v="781"/>
    <x v="2"/>
    <x v="2"/>
    <x v="8"/>
    <x v="4"/>
    <x v="2"/>
    <x v="4"/>
    <n v="14"/>
    <n v="30"/>
    <n v="0.08"/>
    <x v="246"/>
    <x v="749"/>
    <n v="443.08"/>
    <n v="0.87"/>
    <x v="0"/>
  </r>
  <r>
    <x v="52"/>
    <x v="782"/>
    <x v="0"/>
    <x v="0"/>
    <x v="7"/>
    <x v="1"/>
    <x v="2"/>
    <x v="4"/>
    <n v="179"/>
    <n v="30"/>
    <n v="0.01"/>
    <x v="371"/>
    <x v="750"/>
    <n v="4747.5200000000004"/>
    <n v="1.1200000000000001"/>
    <x v="1"/>
  </r>
  <r>
    <x v="122"/>
    <x v="783"/>
    <x v="0"/>
    <x v="1"/>
    <x v="1"/>
    <x v="0"/>
    <x v="2"/>
    <x v="5"/>
    <n v="106"/>
    <n v="40"/>
    <n v="0"/>
    <x v="486"/>
    <x v="751"/>
    <n v="3989.91"/>
    <n v="1.06"/>
    <x v="1"/>
  </r>
  <r>
    <x v="8"/>
    <x v="784"/>
    <x v="4"/>
    <x v="3"/>
    <x v="9"/>
    <x v="3"/>
    <x v="1"/>
    <x v="1"/>
    <n v="115"/>
    <n v="250"/>
    <n v="0.05"/>
    <x v="485"/>
    <x v="752"/>
    <n v="26475.81"/>
    <n v="1.03"/>
    <x v="0"/>
  </r>
  <r>
    <x v="174"/>
    <x v="785"/>
    <x v="4"/>
    <x v="2"/>
    <x v="6"/>
    <x v="4"/>
    <x v="2"/>
    <x v="4"/>
    <n v="44"/>
    <n v="30"/>
    <n v="0.08"/>
    <x v="86"/>
    <x v="753"/>
    <n v="1266.5"/>
    <n v="0.96"/>
    <x v="0"/>
  </r>
  <r>
    <x v="114"/>
    <x v="786"/>
    <x v="4"/>
    <x v="3"/>
    <x v="5"/>
    <x v="4"/>
    <x v="0"/>
    <x v="0"/>
    <n v="185"/>
    <n v="35"/>
    <n v="0.15"/>
    <x v="224"/>
    <x v="754"/>
    <n v="5283.07"/>
    <n v="1.04"/>
    <x v="0"/>
  </r>
  <r>
    <x v="52"/>
    <x v="787"/>
    <x v="3"/>
    <x v="2"/>
    <x v="4"/>
    <x v="5"/>
    <x v="0"/>
    <x v="2"/>
    <n v="136"/>
    <n v="180"/>
    <n v="0.06"/>
    <x v="487"/>
    <x v="755"/>
    <n v="23536.880000000001"/>
    <n v="0.98"/>
    <x v="1"/>
  </r>
  <r>
    <x v="70"/>
    <x v="788"/>
    <x v="4"/>
    <x v="1"/>
    <x v="3"/>
    <x v="2"/>
    <x v="2"/>
    <x v="4"/>
    <n v="25"/>
    <n v="30"/>
    <n v="0.12"/>
    <x v="181"/>
    <x v="756"/>
    <n v="731.39"/>
    <n v="0.9"/>
    <x v="0"/>
  </r>
  <r>
    <x v="10"/>
    <x v="789"/>
    <x v="2"/>
    <x v="0"/>
    <x v="0"/>
    <x v="0"/>
    <x v="1"/>
    <x v="1"/>
    <n v="162"/>
    <n v="250"/>
    <n v="0.02"/>
    <x v="488"/>
    <x v="757"/>
    <n v="42346.09"/>
    <n v="0.94"/>
    <x v="1"/>
  </r>
  <r>
    <x v="45"/>
    <x v="790"/>
    <x v="2"/>
    <x v="3"/>
    <x v="5"/>
    <x v="4"/>
    <x v="1"/>
    <x v="3"/>
    <n v="138"/>
    <n v="120"/>
    <n v="0.14000000000000001"/>
    <x v="289"/>
    <x v="758"/>
    <n v="15725.08"/>
    <n v="0.91"/>
    <x v="0"/>
  </r>
  <r>
    <x v="18"/>
    <x v="791"/>
    <x v="2"/>
    <x v="2"/>
    <x v="2"/>
    <x v="5"/>
    <x v="0"/>
    <x v="0"/>
    <n v="33"/>
    <n v="35"/>
    <n v="0.13"/>
    <x v="305"/>
    <x v="759"/>
    <n v="1078.8"/>
    <n v="0.93"/>
    <x v="0"/>
  </r>
  <r>
    <x v="135"/>
    <x v="792"/>
    <x v="1"/>
    <x v="0"/>
    <x v="7"/>
    <x v="3"/>
    <x v="0"/>
    <x v="0"/>
    <n v="96"/>
    <n v="35"/>
    <n v="7.0000000000000007E-2"/>
    <x v="111"/>
    <x v="760"/>
    <n v="3493.43"/>
    <n v="0.89"/>
    <x v="1"/>
  </r>
  <r>
    <x v="163"/>
    <x v="793"/>
    <x v="1"/>
    <x v="3"/>
    <x v="10"/>
    <x v="2"/>
    <x v="1"/>
    <x v="3"/>
    <n v="165"/>
    <n v="120"/>
    <n v="0.12"/>
    <x v="228"/>
    <x v="279"/>
    <n v="19553.3"/>
    <n v="0.89"/>
    <x v="0"/>
  </r>
  <r>
    <x v="135"/>
    <x v="794"/>
    <x v="3"/>
    <x v="1"/>
    <x v="1"/>
    <x v="0"/>
    <x v="0"/>
    <x v="0"/>
    <n v="91"/>
    <n v="35"/>
    <n v="0.05"/>
    <x v="200"/>
    <x v="761"/>
    <n v="2918.13"/>
    <n v="1.04"/>
    <x v="0"/>
  </r>
  <r>
    <x v="34"/>
    <x v="795"/>
    <x v="0"/>
    <x v="0"/>
    <x v="0"/>
    <x v="5"/>
    <x v="0"/>
    <x v="2"/>
    <n v="96"/>
    <n v="180"/>
    <n v="0.15"/>
    <x v="408"/>
    <x v="762"/>
    <n v="13819.04"/>
    <n v="1.06"/>
    <x v="0"/>
  </r>
  <r>
    <x v="78"/>
    <x v="796"/>
    <x v="1"/>
    <x v="0"/>
    <x v="0"/>
    <x v="2"/>
    <x v="1"/>
    <x v="3"/>
    <n v="15"/>
    <n v="120"/>
    <n v="7.0000000000000007E-2"/>
    <x v="31"/>
    <x v="763"/>
    <n v="1546.28"/>
    <n v="1.08"/>
    <x v="0"/>
  </r>
  <r>
    <x v="10"/>
    <x v="797"/>
    <x v="4"/>
    <x v="2"/>
    <x v="6"/>
    <x v="3"/>
    <x v="0"/>
    <x v="2"/>
    <n v="154"/>
    <n v="180"/>
    <n v="0.1"/>
    <x v="489"/>
    <x v="764"/>
    <n v="28782.5"/>
    <n v="0.87"/>
    <x v="0"/>
  </r>
  <r>
    <x v="139"/>
    <x v="798"/>
    <x v="0"/>
    <x v="1"/>
    <x v="1"/>
    <x v="2"/>
    <x v="1"/>
    <x v="1"/>
    <n v="136"/>
    <n v="250"/>
    <n v="0.01"/>
    <x v="490"/>
    <x v="765"/>
    <n v="33738.15"/>
    <n v="1"/>
    <x v="0"/>
  </r>
  <r>
    <x v="75"/>
    <x v="799"/>
    <x v="2"/>
    <x v="3"/>
    <x v="9"/>
    <x v="5"/>
    <x v="0"/>
    <x v="0"/>
    <n v="21"/>
    <n v="35"/>
    <n v="0.12"/>
    <x v="423"/>
    <x v="766"/>
    <n v="710.11"/>
    <n v="0.91"/>
    <x v="1"/>
  </r>
  <r>
    <x v="57"/>
    <x v="800"/>
    <x v="4"/>
    <x v="1"/>
    <x v="1"/>
    <x v="5"/>
    <x v="1"/>
    <x v="1"/>
    <n v="42"/>
    <n v="250"/>
    <n v="0.05"/>
    <x v="491"/>
    <x v="767"/>
    <n v="8482.2099999999991"/>
    <n v="1.18"/>
    <x v="1"/>
  </r>
  <r>
    <x v="52"/>
    <x v="801"/>
    <x v="5"/>
    <x v="2"/>
    <x v="4"/>
    <x v="1"/>
    <x v="0"/>
    <x v="2"/>
    <n v="114"/>
    <n v="180"/>
    <n v="0.06"/>
    <x v="214"/>
    <x v="768"/>
    <n v="22415.18"/>
    <n v="0.86"/>
    <x v="0"/>
  </r>
  <r>
    <x v="112"/>
    <x v="802"/>
    <x v="0"/>
    <x v="3"/>
    <x v="9"/>
    <x v="3"/>
    <x v="0"/>
    <x v="0"/>
    <n v="66"/>
    <n v="35"/>
    <n v="0.06"/>
    <x v="397"/>
    <x v="769"/>
    <n v="2198.14"/>
    <n v="0.99"/>
    <x v="0"/>
  </r>
  <r>
    <x v="128"/>
    <x v="803"/>
    <x v="5"/>
    <x v="3"/>
    <x v="10"/>
    <x v="2"/>
    <x v="0"/>
    <x v="0"/>
    <n v="153"/>
    <n v="35"/>
    <n v="0.09"/>
    <x v="481"/>
    <x v="770"/>
    <n v="5599.01"/>
    <n v="0.87"/>
    <x v="1"/>
  </r>
  <r>
    <x v="139"/>
    <x v="804"/>
    <x v="5"/>
    <x v="0"/>
    <x v="0"/>
    <x v="4"/>
    <x v="0"/>
    <x v="2"/>
    <n v="51"/>
    <n v="180"/>
    <n v="0.13"/>
    <x v="334"/>
    <x v="771"/>
    <n v="8437.4"/>
    <n v="0.95"/>
    <x v="0"/>
  </r>
  <r>
    <x v="154"/>
    <x v="805"/>
    <x v="5"/>
    <x v="3"/>
    <x v="9"/>
    <x v="3"/>
    <x v="1"/>
    <x v="3"/>
    <n v="150"/>
    <n v="120"/>
    <n v="7.0000000000000007E-2"/>
    <x v="210"/>
    <x v="701"/>
    <n v="18033.78"/>
    <n v="0.93"/>
    <x v="0"/>
  </r>
  <r>
    <x v="135"/>
    <x v="806"/>
    <x v="5"/>
    <x v="2"/>
    <x v="8"/>
    <x v="5"/>
    <x v="1"/>
    <x v="1"/>
    <n v="128"/>
    <n v="250"/>
    <n v="0.11"/>
    <x v="272"/>
    <x v="772"/>
    <n v="28314.84"/>
    <n v="1.01"/>
    <x v="1"/>
  </r>
  <r>
    <x v="94"/>
    <x v="807"/>
    <x v="5"/>
    <x v="0"/>
    <x v="0"/>
    <x v="4"/>
    <x v="0"/>
    <x v="2"/>
    <n v="89"/>
    <n v="180"/>
    <n v="0.11"/>
    <x v="404"/>
    <x v="773"/>
    <n v="13795.89"/>
    <n v="1.03"/>
    <x v="0"/>
  </r>
  <r>
    <x v="12"/>
    <x v="808"/>
    <x v="2"/>
    <x v="1"/>
    <x v="1"/>
    <x v="0"/>
    <x v="0"/>
    <x v="0"/>
    <n v="128"/>
    <n v="35"/>
    <n v="0.1"/>
    <x v="450"/>
    <x v="774"/>
    <n v="4492.58"/>
    <n v="0.9"/>
    <x v="0"/>
  </r>
  <r>
    <x v="175"/>
    <x v="809"/>
    <x v="1"/>
    <x v="0"/>
    <x v="7"/>
    <x v="2"/>
    <x v="0"/>
    <x v="0"/>
    <n v="106"/>
    <n v="35"/>
    <n v="0.02"/>
    <x v="492"/>
    <x v="775"/>
    <n v="3233.62"/>
    <n v="1.1200000000000001"/>
    <x v="1"/>
  </r>
  <r>
    <x v="109"/>
    <x v="810"/>
    <x v="5"/>
    <x v="2"/>
    <x v="4"/>
    <x v="5"/>
    <x v="1"/>
    <x v="3"/>
    <n v="14"/>
    <n v="120"/>
    <n v="0.01"/>
    <x v="362"/>
    <x v="504"/>
    <n v="1464.96"/>
    <n v="1.1399999999999999"/>
    <x v="0"/>
  </r>
  <r>
    <x v="37"/>
    <x v="811"/>
    <x v="0"/>
    <x v="0"/>
    <x v="0"/>
    <x v="3"/>
    <x v="2"/>
    <x v="5"/>
    <n v="55"/>
    <n v="40"/>
    <n v="0.09"/>
    <x v="493"/>
    <x v="776"/>
    <n v="2029.24"/>
    <n v="0.99"/>
    <x v="1"/>
  </r>
  <r>
    <x v="124"/>
    <x v="812"/>
    <x v="4"/>
    <x v="2"/>
    <x v="2"/>
    <x v="4"/>
    <x v="1"/>
    <x v="3"/>
    <n v="9"/>
    <n v="120"/>
    <n v="0.11"/>
    <x v="44"/>
    <x v="777"/>
    <n v="1133.49"/>
    <n v="0.85"/>
    <x v="0"/>
  </r>
  <r>
    <x v="46"/>
    <x v="813"/>
    <x v="0"/>
    <x v="1"/>
    <x v="3"/>
    <x v="3"/>
    <x v="2"/>
    <x v="5"/>
    <n v="169"/>
    <n v="40"/>
    <n v="7.0000000000000007E-2"/>
    <x v="221"/>
    <x v="778"/>
    <n v="5473.85"/>
    <n v="1.1499999999999999"/>
    <x v="1"/>
  </r>
  <r>
    <x v="35"/>
    <x v="814"/>
    <x v="4"/>
    <x v="0"/>
    <x v="0"/>
    <x v="3"/>
    <x v="1"/>
    <x v="1"/>
    <n v="188"/>
    <n v="250"/>
    <n v="0.15"/>
    <x v="494"/>
    <x v="779"/>
    <n v="35265.61"/>
    <n v="1.1299999999999999"/>
    <x v="1"/>
  </r>
  <r>
    <x v="96"/>
    <x v="815"/>
    <x v="0"/>
    <x v="2"/>
    <x v="2"/>
    <x v="0"/>
    <x v="1"/>
    <x v="3"/>
    <n v="38"/>
    <n v="120"/>
    <n v="0.02"/>
    <x v="332"/>
    <x v="711"/>
    <n v="4538.37"/>
    <n v="0.98"/>
    <x v="1"/>
  </r>
  <r>
    <x v="77"/>
    <x v="816"/>
    <x v="3"/>
    <x v="3"/>
    <x v="9"/>
    <x v="4"/>
    <x v="2"/>
    <x v="4"/>
    <n v="141"/>
    <n v="30"/>
    <n v="7.0000000000000007E-2"/>
    <x v="59"/>
    <x v="780"/>
    <n v="3312.83"/>
    <n v="1.19"/>
    <x v="0"/>
  </r>
  <r>
    <x v="60"/>
    <x v="817"/>
    <x v="1"/>
    <x v="2"/>
    <x v="4"/>
    <x v="1"/>
    <x v="2"/>
    <x v="4"/>
    <n v="189"/>
    <n v="30"/>
    <n v="0.13"/>
    <x v="57"/>
    <x v="781"/>
    <n v="5040.1499999999996"/>
    <n v="0.98"/>
    <x v="0"/>
  </r>
  <r>
    <x v="115"/>
    <x v="818"/>
    <x v="2"/>
    <x v="3"/>
    <x v="9"/>
    <x v="1"/>
    <x v="2"/>
    <x v="5"/>
    <n v="74"/>
    <n v="40"/>
    <n v="0.03"/>
    <x v="12"/>
    <x v="12"/>
    <n v="2918.51"/>
    <n v="0.98"/>
    <x v="0"/>
  </r>
  <r>
    <x v="60"/>
    <x v="819"/>
    <x v="3"/>
    <x v="0"/>
    <x v="7"/>
    <x v="3"/>
    <x v="1"/>
    <x v="1"/>
    <n v="23"/>
    <n v="250"/>
    <n v="0.06"/>
    <x v="495"/>
    <x v="782"/>
    <n v="6227.76"/>
    <n v="0.87"/>
    <x v="1"/>
  </r>
  <r>
    <x v="34"/>
    <x v="820"/>
    <x v="3"/>
    <x v="1"/>
    <x v="1"/>
    <x v="4"/>
    <x v="1"/>
    <x v="1"/>
    <n v="80"/>
    <n v="250"/>
    <n v="0.04"/>
    <x v="65"/>
    <x v="783"/>
    <n v="16169.77"/>
    <n v="1.19"/>
    <x v="0"/>
  </r>
  <r>
    <x v="65"/>
    <x v="821"/>
    <x v="2"/>
    <x v="2"/>
    <x v="4"/>
    <x v="5"/>
    <x v="0"/>
    <x v="0"/>
    <n v="19"/>
    <n v="35"/>
    <n v="0.03"/>
    <x v="25"/>
    <x v="25"/>
    <n v="561.6"/>
    <n v="1.1499999999999999"/>
    <x v="1"/>
  </r>
  <r>
    <x v="114"/>
    <x v="822"/>
    <x v="1"/>
    <x v="3"/>
    <x v="10"/>
    <x v="2"/>
    <x v="0"/>
    <x v="2"/>
    <n v="130"/>
    <n v="180"/>
    <n v="0.12"/>
    <x v="198"/>
    <x v="784"/>
    <n v="22507.29"/>
    <n v="0.91"/>
    <x v="0"/>
  </r>
  <r>
    <x v="59"/>
    <x v="823"/>
    <x v="5"/>
    <x v="1"/>
    <x v="1"/>
    <x v="4"/>
    <x v="0"/>
    <x v="2"/>
    <n v="184"/>
    <n v="180"/>
    <n v="0.04"/>
    <x v="496"/>
    <x v="785"/>
    <n v="28531.96"/>
    <n v="1.1100000000000001"/>
    <x v="1"/>
  </r>
  <r>
    <x v="32"/>
    <x v="824"/>
    <x v="5"/>
    <x v="1"/>
    <x v="3"/>
    <x v="2"/>
    <x v="2"/>
    <x v="4"/>
    <n v="63"/>
    <n v="30"/>
    <n v="0.04"/>
    <x v="319"/>
    <x v="786"/>
    <n v="1811"/>
    <n v="1"/>
    <x v="1"/>
  </r>
  <r>
    <x v="156"/>
    <x v="825"/>
    <x v="0"/>
    <x v="0"/>
    <x v="7"/>
    <x v="0"/>
    <x v="0"/>
    <x v="0"/>
    <n v="107"/>
    <n v="35"/>
    <n v="0.09"/>
    <x v="497"/>
    <x v="787"/>
    <n v="3080.91"/>
    <n v="1.1100000000000001"/>
    <x v="0"/>
  </r>
  <r>
    <x v="53"/>
    <x v="826"/>
    <x v="4"/>
    <x v="0"/>
    <x v="0"/>
    <x v="0"/>
    <x v="0"/>
    <x v="2"/>
    <n v="19"/>
    <n v="180"/>
    <n v="0.02"/>
    <x v="420"/>
    <x v="788"/>
    <n v="3824.93"/>
    <n v="0.88"/>
    <x v="1"/>
  </r>
  <r>
    <x v="128"/>
    <x v="827"/>
    <x v="3"/>
    <x v="2"/>
    <x v="8"/>
    <x v="0"/>
    <x v="2"/>
    <x v="5"/>
    <n v="33"/>
    <n v="40"/>
    <n v="0.09"/>
    <x v="86"/>
    <x v="789"/>
    <n v="1046.03"/>
    <n v="1.1499999999999999"/>
    <x v="1"/>
  </r>
  <r>
    <x v="108"/>
    <x v="828"/>
    <x v="2"/>
    <x v="1"/>
    <x v="3"/>
    <x v="2"/>
    <x v="1"/>
    <x v="3"/>
    <n v="156"/>
    <n v="120"/>
    <n v="0"/>
    <x v="498"/>
    <x v="790"/>
    <n v="21819.7"/>
    <n v="0.86"/>
    <x v="0"/>
  </r>
  <r>
    <x v="64"/>
    <x v="829"/>
    <x v="5"/>
    <x v="3"/>
    <x v="5"/>
    <x v="0"/>
    <x v="0"/>
    <x v="0"/>
    <n v="114"/>
    <n v="35"/>
    <n v="0.1"/>
    <x v="295"/>
    <x v="791"/>
    <n v="3435.94"/>
    <n v="1.05"/>
    <x v="1"/>
  </r>
  <r>
    <x v="128"/>
    <x v="830"/>
    <x v="5"/>
    <x v="0"/>
    <x v="7"/>
    <x v="1"/>
    <x v="0"/>
    <x v="2"/>
    <n v="133"/>
    <n v="180"/>
    <n v="0.13"/>
    <x v="499"/>
    <x v="792"/>
    <n v="23423.33"/>
    <n v="0.89"/>
    <x v="1"/>
  </r>
  <r>
    <x v="66"/>
    <x v="831"/>
    <x v="3"/>
    <x v="0"/>
    <x v="7"/>
    <x v="2"/>
    <x v="0"/>
    <x v="0"/>
    <n v="133"/>
    <n v="35"/>
    <n v="0.13"/>
    <x v="216"/>
    <x v="260"/>
    <n v="4653.2700000000004"/>
    <n v="0.87"/>
    <x v="0"/>
  </r>
  <r>
    <x v="44"/>
    <x v="832"/>
    <x v="5"/>
    <x v="2"/>
    <x v="6"/>
    <x v="2"/>
    <x v="2"/>
    <x v="5"/>
    <n v="84"/>
    <n v="40"/>
    <n v="0.11"/>
    <x v="111"/>
    <x v="793"/>
    <n v="3174.99"/>
    <n v="0.94"/>
    <x v="1"/>
  </r>
  <r>
    <x v="91"/>
    <x v="833"/>
    <x v="3"/>
    <x v="2"/>
    <x v="8"/>
    <x v="0"/>
    <x v="0"/>
    <x v="0"/>
    <n v="83"/>
    <n v="35"/>
    <n v="0.12"/>
    <x v="279"/>
    <x v="794"/>
    <n v="3056.54"/>
    <n v="0.84"/>
    <x v="0"/>
  </r>
  <r>
    <x v="24"/>
    <x v="834"/>
    <x v="2"/>
    <x v="1"/>
    <x v="1"/>
    <x v="5"/>
    <x v="0"/>
    <x v="0"/>
    <n v="192"/>
    <n v="35"/>
    <n v="0.08"/>
    <x v="296"/>
    <x v="795"/>
    <n v="5418"/>
    <n v="1.1399999999999999"/>
    <x v="1"/>
  </r>
  <r>
    <x v="28"/>
    <x v="835"/>
    <x v="5"/>
    <x v="3"/>
    <x v="9"/>
    <x v="0"/>
    <x v="0"/>
    <x v="2"/>
    <n v="90"/>
    <n v="180"/>
    <n v="0.03"/>
    <x v="290"/>
    <x v="796"/>
    <n v="17144.36"/>
    <n v="0.92"/>
    <x v="0"/>
  </r>
  <r>
    <x v="163"/>
    <x v="836"/>
    <x v="3"/>
    <x v="0"/>
    <x v="7"/>
    <x v="2"/>
    <x v="0"/>
    <x v="0"/>
    <n v="32"/>
    <n v="35"/>
    <n v="0.11"/>
    <x v="184"/>
    <x v="797"/>
    <n v="841.55"/>
    <n v="1.18"/>
    <x v="0"/>
  </r>
  <r>
    <x v="36"/>
    <x v="837"/>
    <x v="2"/>
    <x v="2"/>
    <x v="6"/>
    <x v="5"/>
    <x v="2"/>
    <x v="5"/>
    <n v="34"/>
    <n v="40"/>
    <n v="0.12"/>
    <x v="428"/>
    <x v="798"/>
    <n v="1284.49"/>
    <n v="0.93"/>
    <x v="0"/>
  </r>
  <r>
    <x v="72"/>
    <x v="838"/>
    <x v="3"/>
    <x v="1"/>
    <x v="3"/>
    <x v="4"/>
    <x v="1"/>
    <x v="3"/>
    <n v="164"/>
    <n v="120"/>
    <n v="0.1"/>
    <x v="268"/>
    <x v="799"/>
    <n v="14665.11"/>
    <n v="1.21"/>
    <x v="1"/>
  </r>
  <r>
    <x v="98"/>
    <x v="839"/>
    <x v="2"/>
    <x v="1"/>
    <x v="3"/>
    <x v="5"/>
    <x v="1"/>
    <x v="1"/>
    <n v="48"/>
    <n v="250"/>
    <n v="0.08"/>
    <x v="180"/>
    <x v="800"/>
    <n v="12805.36"/>
    <n v="0.86"/>
    <x v="0"/>
  </r>
  <r>
    <x v="141"/>
    <x v="840"/>
    <x v="5"/>
    <x v="2"/>
    <x v="8"/>
    <x v="0"/>
    <x v="0"/>
    <x v="0"/>
    <n v="16"/>
    <n v="35"/>
    <n v="0.09"/>
    <x v="94"/>
    <x v="801"/>
    <n v="441.31"/>
    <n v="1.1499999999999999"/>
    <x v="0"/>
  </r>
  <r>
    <x v="36"/>
    <x v="841"/>
    <x v="5"/>
    <x v="2"/>
    <x v="4"/>
    <x v="0"/>
    <x v="2"/>
    <x v="4"/>
    <n v="146"/>
    <n v="30"/>
    <n v="0.13"/>
    <x v="192"/>
    <x v="802"/>
    <n v="4072.17"/>
    <n v="0.94"/>
    <x v="1"/>
  </r>
  <r>
    <x v="63"/>
    <x v="842"/>
    <x v="1"/>
    <x v="0"/>
    <x v="0"/>
    <x v="4"/>
    <x v="1"/>
    <x v="3"/>
    <n v="106"/>
    <n v="120"/>
    <n v="0"/>
    <x v="500"/>
    <x v="803"/>
    <n v="13808.14"/>
    <n v="0.92"/>
    <x v="1"/>
  </r>
  <r>
    <x v="10"/>
    <x v="843"/>
    <x v="2"/>
    <x v="1"/>
    <x v="3"/>
    <x v="5"/>
    <x v="1"/>
    <x v="1"/>
    <n v="148"/>
    <n v="250"/>
    <n v="0.02"/>
    <x v="3"/>
    <x v="804"/>
    <n v="34067.72"/>
    <n v="1.06"/>
    <x v="1"/>
  </r>
  <r>
    <x v="55"/>
    <x v="844"/>
    <x v="0"/>
    <x v="2"/>
    <x v="2"/>
    <x v="2"/>
    <x v="2"/>
    <x v="5"/>
    <n v="40"/>
    <n v="40"/>
    <n v="0.04"/>
    <x v="353"/>
    <x v="805"/>
    <n v="1504.06"/>
    <n v="1.02"/>
    <x v="1"/>
  </r>
  <r>
    <x v="170"/>
    <x v="845"/>
    <x v="5"/>
    <x v="0"/>
    <x v="7"/>
    <x v="3"/>
    <x v="2"/>
    <x v="4"/>
    <n v="85"/>
    <n v="30"/>
    <n v="0.14000000000000001"/>
    <x v="501"/>
    <x v="806"/>
    <n v="2177.89"/>
    <n v="1.01"/>
    <x v="0"/>
  </r>
  <r>
    <x v="90"/>
    <x v="846"/>
    <x v="2"/>
    <x v="1"/>
    <x v="3"/>
    <x v="0"/>
    <x v="2"/>
    <x v="4"/>
    <n v="62"/>
    <n v="30"/>
    <n v="0.08"/>
    <x v="502"/>
    <x v="807"/>
    <n v="1556.56"/>
    <n v="1.1000000000000001"/>
    <x v="1"/>
  </r>
  <r>
    <x v="43"/>
    <x v="847"/>
    <x v="2"/>
    <x v="3"/>
    <x v="9"/>
    <x v="0"/>
    <x v="2"/>
    <x v="4"/>
    <n v="145"/>
    <n v="30"/>
    <n v="0.01"/>
    <x v="503"/>
    <x v="808"/>
    <n v="3691.86"/>
    <n v="1.17"/>
    <x v="1"/>
  </r>
  <r>
    <x v="23"/>
    <x v="848"/>
    <x v="1"/>
    <x v="2"/>
    <x v="2"/>
    <x v="5"/>
    <x v="0"/>
    <x v="0"/>
    <n v="191"/>
    <n v="35"/>
    <n v="0.08"/>
    <x v="407"/>
    <x v="586"/>
    <n v="5710.75"/>
    <n v="1.08"/>
    <x v="0"/>
  </r>
  <r>
    <x v="83"/>
    <x v="849"/>
    <x v="1"/>
    <x v="3"/>
    <x v="9"/>
    <x v="5"/>
    <x v="2"/>
    <x v="5"/>
    <n v="76"/>
    <n v="40"/>
    <n v="0.14000000000000001"/>
    <x v="504"/>
    <x v="809"/>
    <n v="2253.04"/>
    <n v="1.1599999999999999"/>
    <x v="0"/>
  </r>
  <r>
    <x v="149"/>
    <x v="850"/>
    <x v="5"/>
    <x v="1"/>
    <x v="1"/>
    <x v="3"/>
    <x v="2"/>
    <x v="5"/>
    <n v="150"/>
    <n v="40"/>
    <n v="0.1"/>
    <x v="375"/>
    <x v="810"/>
    <n v="4506.07"/>
    <n v="1.2"/>
    <x v="0"/>
  </r>
  <r>
    <x v="76"/>
    <x v="851"/>
    <x v="3"/>
    <x v="0"/>
    <x v="0"/>
    <x v="2"/>
    <x v="0"/>
    <x v="0"/>
    <n v="184"/>
    <n v="35"/>
    <n v="0.13"/>
    <x v="73"/>
    <x v="811"/>
    <n v="5537.07"/>
    <n v="1.01"/>
    <x v="0"/>
  </r>
  <r>
    <x v="54"/>
    <x v="852"/>
    <x v="0"/>
    <x v="1"/>
    <x v="1"/>
    <x v="3"/>
    <x v="1"/>
    <x v="1"/>
    <n v="120"/>
    <n v="250"/>
    <n v="0.11"/>
    <x v="505"/>
    <x v="812"/>
    <n v="21783.59"/>
    <n v="1.23"/>
    <x v="1"/>
  </r>
  <r>
    <x v="93"/>
    <x v="853"/>
    <x v="2"/>
    <x v="0"/>
    <x v="0"/>
    <x v="3"/>
    <x v="2"/>
    <x v="4"/>
    <n v="146"/>
    <n v="30"/>
    <n v="0.09"/>
    <x v="192"/>
    <x v="223"/>
    <n v="3396.04"/>
    <n v="1.17"/>
    <x v="1"/>
  </r>
  <r>
    <x v="164"/>
    <x v="854"/>
    <x v="4"/>
    <x v="1"/>
    <x v="3"/>
    <x v="3"/>
    <x v="0"/>
    <x v="0"/>
    <n v="110"/>
    <n v="35"/>
    <n v="0.01"/>
    <x v="506"/>
    <x v="813"/>
    <n v="4438.29"/>
    <n v="0.86"/>
    <x v="1"/>
  </r>
  <r>
    <x v="50"/>
    <x v="855"/>
    <x v="5"/>
    <x v="2"/>
    <x v="6"/>
    <x v="3"/>
    <x v="1"/>
    <x v="1"/>
    <n v="65"/>
    <n v="250"/>
    <n v="0.15"/>
    <x v="507"/>
    <x v="814"/>
    <n v="14186.4"/>
    <n v="0.97"/>
    <x v="0"/>
  </r>
  <r>
    <x v="162"/>
    <x v="856"/>
    <x v="4"/>
    <x v="1"/>
    <x v="1"/>
    <x v="1"/>
    <x v="2"/>
    <x v="4"/>
    <n v="24"/>
    <n v="30"/>
    <n v="0.06"/>
    <x v="190"/>
    <x v="815"/>
    <n v="779.79"/>
    <n v="0.87"/>
    <x v="1"/>
  </r>
  <r>
    <x v="136"/>
    <x v="857"/>
    <x v="5"/>
    <x v="0"/>
    <x v="0"/>
    <x v="4"/>
    <x v="0"/>
    <x v="2"/>
    <n v="96"/>
    <n v="180"/>
    <n v="0"/>
    <x v="408"/>
    <x v="816"/>
    <n v="19367.53"/>
    <n v="0.89"/>
    <x v="0"/>
  </r>
  <r>
    <x v="40"/>
    <x v="858"/>
    <x v="5"/>
    <x v="1"/>
    <x v="1"/>
    <x v="1"/>
    <x v="0"/>
    <x v="0"/>
    <n v="45"/>
    <n v="35"/>
    <n v="0.03"/>
    <x v="242"/>
    <x v="817"/>
    <n v="1528.57"/>
    <n v="1"/>
    <x v="0"/>
  </r>
  <r>
    <x v="1"/>
    <x v="859"/>
    <x v="4"/>
    <x v="2"/>
    <x v="6"/>
    <x v="3"/>
    <x v="1"/>
    <x v="1"/>
    <n v="99"/>
    <n v="250"/>
    <n v="7.0000000000000007E-2"/>
    <x v="508"/>
    <x v="818"/>
    <n v="26571.63"/>
    <n v="0.87"/>
    <x v="1"/>
  </r>
  <r>
    <x v="143"/>
    <x v="860"/>
    <x v="2"/>
    <x v="2"/>
    <x v="6"/>
    <x v="5"/>
    <x v="0"/>
    <x v="0"/>
    <n v="102"/>
    <n v="35"/>
    <n v="0.09"/>
    <x v="509"/>
    <x v="819"/>
    <n v="3447.63"/>
    <n v="0.94"/>
    <x v="1"/>
  </r>
  <r>
    <x v="149"/>
    <x v="861"/>
    <x v="2"/>
    <x v="2"/>
    <x v="6"/>
    <x v="3"/>
    <x v="0"/>
    <x v="0"/>
    <n v="21"/>
    <n v="35"/>
    <n v="0.05"/>
    <x v="423"/>
    <x v="820"/>
    <n v="798.27"/>
    <n v="0.87"/>
    <x v="1"/>
  </r>
  <r>
    <x v="8"/>
    <x v="862"/>
    <x v="0"/>
    <x v="0"/>
    <x v="7"/>
    <x v="3"/>
    <x v="1"/>
    <x v="3"/>
    <n v="80"/>
    <n v="120"/>
    <n v="0.09"/>
    <x v="510"/>
    <x v="821"/>
    <n v="7061.6"/>
    <n v="1.24"/>
    <x v="1"/>
  </r>
  <r>
    <x v="34"/>
    <x v="863"/>
    <x v="3"/>
    <x v="0"/>
    <x v="7"/>
    <x v="3"/>
    <x v="0"/>
    <x v="0"/>
    <n v="45"/>
    <n v="35"/>
    <n v="0.12"/>
    <x v="242"/>
    <x v="822"/>
    <n v="1159.93"/>
    <n v="1.19"/>
    <x v="0"/>
  </r>
  <r>
    <x v="62"/>
    <x v="864"/>
    <x v="4"/>
    <x v="1"/>
    <x v="3"/>
    <x v="1"/>
    <x v="0"/>
    <x v="2"/>
    <n v="126"/>
    <n v="180"/>
    <n v="0.05"/>
    <x v="511"/>
    <x v="823"/>
    <n v="25741.79"/>
    <n v="0.84"/>
    <x v="1"/>
  </r>
  <r>
    <x v="35"/>
    <x v="865"/>
    <x v="0"/>
    <x v="2"/>
    <x v="6"/>
    <x v="4"/>
    <x v="1"/>
    <x v="1"/>
    <n v="173"/>
    <n v="250"/>
    <n v="0.01"/>
    <x v="367"/>
    <x v="824"/>
    <n v="44551.95"/>
    <n v="0.96"/>
    <x v="0"/>
  </r>
  <r>
    <x v="46"/>
    <x v="866"/>
    <x v="2"/>
    <x v="0"/>
    <x v="0"/>
    <x v="5"/>
    <x v="2"/>
    <x v="4"/>
    <n v="42"/>
    <n v="30"/>
    <n v="0.12"/>
    <x v="71"/>
    <x v="825"/>
    <n v="1213.29"/>
    <n v="0.91"/>
    <x v="0"/>
  </r>
  <r>
    <x v="31"/>
    <x v="867"/>
    <x v="1"/>
    <x v="1"/>
    <x v="3"/>
    <x v="2"/>
    <x v="2"/>
    <x v="4"/>
    <n v="53"/>
    <n v="30"/>
    <n v="0.01"/>
    <x v="512"/>
    <x v="826"/>
    <n v="1748.66"/>
    <n v="0.9"/>
    <x v="1"/>
  </r>
  <r>
    <x v="82"/>
    <x v="868"/>
    <x v="5"/>
    <x v="1"/>
    <x v="1"/>
    <x v="5"/>
    <x v="0"/>
    <x v="0"/>
    <n v="141"/>
    <n v="35"/>
    <n v="0.11"/>
    <x v="249"/>
    <x v="827"/>
    <n v="3793.87"/>
    <n v="1.1599999999999999"/>
    <x v="0"/>
  </r>
  <r>
    <x v="33"/>
    <x v="869"/>
    <x v="2"/>
    <x v="3"/>
    <x v="9"/>
    <x v="1"/>
    <x v="1"/>
    <x v="3"/>
    <n v="7"/>
    <n v="120"/>
    <n v="0.01"/>
    <x v="439"/>
    <x v="828"/>
    <n v="937.47"/>
    <n v="0.89"/>
    <x v="1"/>
  </r>
  <r>
    <x v="171"/>
    <x v="870"/>
    <x v="0"/>
    <x v="1"/>
    <x v="1"/>
    <x v="5"/>
    <x v="2"/>
    <x v="5"/>
    <n v="34"/>
    <n v="40"/>
    <n v="0.11"/>
    <x v="428"/>
    <x v="829"/>
    <n v="1350.51"/>
    <n v="0.9"/>
    <x v="0"/>
  </r>
  <r>
    <x v="150"/>
    <x v="871"/>
    <x v="3"/>
    <x v="2"/>
    <x v="6"/>
    <x v="2"/>
    <x v="0"/>
    <x v="2"/>
    <n v="78"/>
    <n v="180"/>
    <n v="0.01"/>
    <x v="104"/>
    <x v="830"/>
    <n v="14100.57"/>
    <n v="0.99"/>
    <x v="1"/>
  </r>
  <r>
    <x v="10"/>
    <x v="872"/>
    <x v="4"/>
    <x v="2"/>
    <x v="4"/>
    <x v="0"/>
    <x v="1"/>
    <x v="3"/>
    <n v="185"/>
    <n v="120"/>
    <n v="0.13"/>
    <x v="513"/>
    <x v="831"/>
    <n v="22101"/>
    <n v="0.87"/>
    <x v="0"/>
  </r>
  <r>
    <x v="122"/>
    <x v="873"/>
    <x v="4"/>
    <x v="0"/>
    <x v="0"/>
    <x v="0"/>
    <x v="0"/>
    <x v="2"/>
    <n v="17"/>
    <n v="180"/>
    <n v="0.02"/>
    <x v="260"/>
    <x v="832"/>
    <n v="2448.8000000000002"/>
    <n v="1.22"/>
    <x v="0"/>
  </r>
  <r>
    <x v="168"/>
    <x v="874"/>
    <x v="2"/>
    <x v="3"/>
    <x v="5"/>
    <x v="4"/>
    <x v="2"/>
    <x v="4"/>
    <n v="74"/>
    <n v="30"/>
    <n v="0.05"/>
    <x v="390"/>
    <x v="833"/>
    <n v="2351.88"/>
    <n v="0.9"/>
    <x v="0"/>
  </r>
  <r>
    <x v="77"/>
    <x v="875"/>
    <x v="4"/>
    <x v="1"/>
    <x v="3"/>
    <x v="4"/>
    <x v="2"/>
    <x v="4"/>
    <n v="52"/>
    <n v="30"/>
    <n v="0.1"/>
    <x v="162"/>
    <x v="834"/>
    <n v="1509.23"/>
    <n v="0.93"/>
    <x v="1"/>
  </r>
  <r>
    <x v="45"/>
    <x v="876"/>
    <x v="5"/>
    <x v="2"/>
    <x v="2"/>
    <x v="3"/>
    <x v="1"/>
    <x v="3"/>
    <n v="135"/>
    <n v="120"/>
    <n v="0.1"/>
    <x v="290"/>
    <x v="835"/>
    <n v="13342.19"/>
    <n v="1.0900000000000001"/>
    <x v="0"/>
  </r>
  <r>
    <x v="131"/>
    <x v="877"/>
    <x v="5"/>
    <x v="2"/>
    <x v="4"/>
    <x v="5"/>
    <x v="0"/>
    <x v="2"/>
    <n v="51"/>
    <n v="180"/>
    <n v="0.05"/>
    <x v="334"/>
    <x v="836"/>
    <n v="6985.96"/>
    <n v="1.25"/>
    <x v="1"/>
  </r>
  <r>
    <x v="30"/>
    <x v="878"/>
    <x v="3"/>
    <x v="1"/>
    <x v="3"/>
    <x v="1"/>
    <x v="0"/>
    <x v="2"/>
    <n v="83"/>
    <n v="180"/>
    <n v="0.05"/>
    <x v="514"/>
    <x v="837"/>
    <n v="12798.72"/>
    <n v="1.1100000000000001"/>
    <x v="1"/>
  </r>
  <r>
    <x v="132"/>
    <x v="879"/>
    <x v="2"/>
    <x v="1"/>
    <x v="1"/>
    <x v="5"/>
    <x v="0"/>
    <x v="2"/>
    <n v="190"/>
    <n v="180"/>
    <n v="0.15"/>
    <x v="288"/>
    <x v="838"/>
    <n v="28119.05"/>
    <n v="1.03"/>
    <x v="1"/>
  </r>
  <r>
    <x v="0"/>
    <x v="880"/>
    <x v="1"/>
    <x v="2"/>
    <x v="8"/>
    <x v="1"/>
    <x v="2"/>
    <x v="4"/>
    <n v="181"/>
    <n v="30"/>
    <n v="0.12"/>
    <x v="515"/>
    <x v="839"/>
    <n v="4060.63"/>
    <n v="1.18"/>
    <x v="0"/>
  </r>
  <r>
    <x v="146"/>
    <x v="881"/>
    <x v="0"/>
    <x v="1"/>
    <x v="1"/>
    <x v="4"/>
    <x v="1"/>
    <x v="3"/>
    <n v="113"/>
    <n v="120"/>
    <n v="0.1"/>
    <x v="96"/>
    <x v="840"/>
    <n v="13999.88"/>
    <n v="0.87"/>
    <x v="1"/>
  </r>
  <r>
    <x v="27"/>
    <x v="882"/>
    <x v="3"/>
    <x v="0"/>
    <x v="0"/>
    <x v="2"/>
    <x v="2"/>
    <x v="4"/>
    <n v="144"/>
    <n v="30"/>
    <n v="0.14000000000000001"/>
    <x v="401"/>
    <x v="841"/>
    <n v="3266.09"/>
    <n v="1.1399999999999999"/>
    <x v="0"/>
  </r>
  <r>
    <x v="123"/>
    <x v="883"/>
    <x v="5"/>
    <x v="3"/>
    <x v="5"/>
    <x v="1"/>
    <x v="2"/>
    <x v="4"/>
    <n v="145"/>
    <n v="30"/>
    <n v="0.09"/>
    <x v="503"/>
    <x v="842"/>
    <n v="4345.55"/>
    <n v="0.91"/>
    <x v="0"/>
  </r>
  <r>
    <x v="32"/>
    <x v="884"/>
    <x v="5"/>
    <x v="1"/>
    <x v="1"/>
    <x v="2"/>
    <x v="1"/>
    <x v="3"/>
    <n v="81"/>
    <n v="120"/>
    <n v="0.12"/>
    <x v="365"/>
    <x v="843"/>
    <n v="7782.66"/>
    <n v="1.1000000000000001"/>
    <x v="0"/>
  </r>
  <r>
    <x v="23"/>
    <x v="885"/>
    <x v="2"/>
    <x v="2"/>
    <x v="8"/>
    <x v="1"/>
    <x v="0"/>
    <x v="2"/>
    <n v="58"/>
    <n v="180"/>
    <n v="0.05"/>
    <x v="516"/>
    <x v="844"/>
    <n v="9741.66"/>
    <n v="1.02"/>
    <x v="0"/>
  </r>
  <r>
    <x v="82"/>
    <x v="886"/>
    <x v="3"/>
    <x v="3"/>
    <x v="9"/>
    <x v="1"/>
    <x v="2"/>
    <x v="5"/>
    <n v="197"/>
    <n v="40"/>
    <n v="0.12"/>
    <x v="517"/>
    <x v="845"/>
    <n v="8269.34"/>
    <n v="0.84"/>
    <x v="0"/>
  </r>
  <r>
    <x v="41"/>
    <x v="887"/>
    <x v="1"/>
    <x v="1"/>
    <x v="3"/>
    <x v="4"/>
    <x v="1"/>
    <x v="1"/>
    <n v="132"/>
    <n v="250"/>
    <n v="0.11"/>
    <x v="518"/>
    <x v="846"/>
    <n v="33417.14"/>
    <n v="0.88"/>
    <x v="1"/>
  </r>
  <r>
    <x v="125"/>
    <x v="888"/>
    <x v="2"/>
    <x v="2"/>
    <x v="8"/>
    <x v="3"/>
    <x v="1"/>
    <x v="1"/>
    <n v="17"/>
    <n v="250"/>
    <n v="0.09"/>
    <x v="519"/>
    <x v="847"/>
    <n v="3806.36"/>
    <n v="1.02"/>
    <x v="1"/>
  </r>
  <r>
    <x v="21"/>
    <x v="889"/>
    <x v="0"/>
    <x v="3"/>
    <x v="9"/>
    <x v="0"/>
    <x v="2"/>
    <x v="5"/>
    <n v="75"/>
    <n v="40"/>
    <n v="0.09"/>
    <x v="102"/>
    <x v="107"/>
    <n v="2276.16"/>
    <n v="1.2"/>
    <x v="1"/>
  </r>
  <r>
    <x v="157"/>
    <x v="890"/>
    <x v="3"/>
    <x v="2"/>
    <x v="8"/>
    <x v="2"/>
    <x v="2"/>
    <x v="5"/>
    <n v="190"/>
    <n v="40"/>
    <n v="7.0000000000000007E-2"/>
    <x v="520"/>
    <x v="848"/>
    <n v="6563.13"/>
    <n v="1.08"/>
    <x v="1"/>
  </r>
  <r>
    <x v="148"/>
    <x v="891"/>
    <x v="2"/>
    <x v="3"/>
    <x v="5"/>
    <x v="0"/>
    <x v="0"/>
    <x v="2"/>
    <n v="133"/>
    <n v="180"/>
    <n v="0.02"/>
    <x v="499"/>
    <x v="849"/>
    <n v="24301.62"/>
    <n v="0.97"/>
    <x v="1"/>
  </r>
  <r>
    <x v="126"/>
    <x v="892"/>
    <x v="5"/>
    <x v="1"/>
    <x v="3"/>
    <x v="4"/>
    <x v="1"/>
    <x v="3"/>
    <n v="170"/>
    <n v="120"/>
    <n v="0.04"/>
    <x v="426"/>
    <x v="619"/>
    <n v="17997.03"/>
    <n v="1.0900000000000001"/>
    <x v="0"/>
  </r>
  <r>
    <x v="61"/>
    <x v="893"/>
    <x v="4"/>
    <x v="2"/>
    <x v="8"/>
    <x v="1"/>
    <x v="1"/>
    <x v="3"/>
    <n v="17"/>
    <n v="120"/>
    <n v="0.06"/>
    <x v="300"/>
    <x v="850"/>
    <n v="1588.45"/>
    <n v="1.21"/>
    <x v="0"/>
  </r>
  <r>
    <x v="15"/>
    <x v="894"/>
    <x v="2"/>
    <x v="1"/>
    <x v="1"/>
    <x v="3"/>
    <x v="0"/>
    <x v="2"/>
    <n v="22"/>
    <n v="180"/>
    <n v="0.01"/>
    <x v="77"/>
    <x v="851"/>
    <n v="3342.35"/>
    <n v="1.17"/>
    <x v="0"/>
  </r>
  <r>
    <x v="107"/>
    <x v="895"/>
    <x v="3"/>
    <x v="3"/>
    <x v="5"/>
    <x v="1"/>
    <x v="0"/>
    <x v="2"/>
    <n v="99"/>
    <n v="180"/>
    <n v="0"/>
    <x v="521"/>
    <x v="852"/>
    <n v="15553.31"/>
    <n v="1.1499999999999999"/>
    <x v="1"/>
  </r>
  <r>
    <x v="3"/>
    <x v="896"/>
    <x v="0"/>
    <x v="0"/>
    <x v="7"/>
    <x v="5"/>
    <x v="2"/>
    <x v="5"/>
    <n v="200"/>
    <n v="40"/>
    <n v="0.01"/>
    <x v="522"/>
    <x v="853"/>
    <n v="7097.01"/>
    <n v="1.1200000000000001"/>
    <x v="1"/>
  </r>
  <r>
    <x v="56"/>
    <x v="897"/>
    <x v="5"/>
    <x v="0"/>
    <x v="7"/>
    <x v="3"/>
    <x v="1"/>
    <x v="1"/>
    <n v="85"/>
    <n v="250"/>
    <n v="0.01"/>
    <x v="225"/>
    <x v="854"/>
    <n v="17023.87"/>
    <n v="1.24"/>
    <x v="0"/>
  </r>
  <r>
    <x v="142"/>
    <x v="898"/>
    <x v="4"/>
    <x v="0"/>
    <x v="0"/>
    <x v="1"/>
    <x v="2"/>
    <x v="5"/>
    <n v="104"/>
    <n v="40"/>
    <n v="0.08"/>
    <x v="136"/>
    <x v="855"/>
    <n v="3227.23"/>
    <n v="1.19"/>
    <x v="1"/>
  </r>
  <r>
    <x v="11"/>
    <x v="899"/>
    <x v="4"/>
    <x v="3"/>
    <x v="9"/>
    <x v="1"/>
    <x v="2"/>
    <x v="4"/>
    <n v="163"/>
    <n v="30"/>
    <n v="0.12"/>
    <x v="234"/>
    <x v="286"/>
    <n v="4778.13"/>
    <n v="0.9"/>
    <x v="0"/>
  </r>
  <r>
    <x v="140"/>
    <x v="900"/>
    <x v="1"/>
    <x v="1"/>
    <x v="3"/>
    <x v="5"/>
    <x v="2"/>
    <x v="4"/>
    <n v="81"/>
    <n v="30"/>
    <n v="0.12"/>
    <x v="456"/>
    <x v="856"/>
    <n v="1932.41"/>
    <n v="1.1100000000000001"/>
    <x v="0"/>
  </r>
  <r>
    <x v="110"/>
    <x v="901"/>
    <x v="5"/>
    <x v="1"/>
    <x v="3"/>
    <x v="1"/>
    <x v="2"/>
    <x v="4"/>
    <n v="110"/>
    <n v="30"/>
    <n v="0.06"/>
    <x v="331"/>
    <x v="857"/>
    <n v="2597.7399999999998"/>
    <n v="1.19"/>
    <x v="1"/>
  </r>
  <r>
    <x v="135"/>
    <x v="902"/>
    <x v="0"/>
    <x v="3"/>
    <x v="9"/>
    <x v="4"/>
    <x v="0"/>
    <x v="0"/>
    <n v="133"/>
    <n v="35"/>
    <n v="0.09"/>
    <x v="216"/>
    <x v="858"/>
    <n v="3728.91"/>
    <n v="1.1399999999999999"/>
    <x v="0"/>
  </r>
  <r>
    <x v="24"/>
    <x v="903"/>
    <x v="5"/>
    <x v="0"/>
    <x v="0"/>
    <x v="0"/>
    <x v="1"/>
    <x v="3"/>
    <n v="192"/>
    <n v="120"/>
    <n v="0.04"/>
    <x v="276"/>
    <x v="492"/>
    <n v="17700.560000000001"/>
    <n v="1.25"/>
    <x v="1"/>
  </r>
  <r>
    <x v="50"/>
    <x v="904"/>
    <x v="0"/>
    <x v="0"/>
    <x v="0"/>
    <x v="4"/>
    <x v="2"/>
    <x v="4"/>
    <n v="92"/>
    <n v="30"/>
    <n v="0.1"/>
    <x v="122"/>
    <x v="256"/>
    <n v="2852.09"/>
    <n v="0.87"/>
    <x v="1"/>
  </r>
  <r>
    <x v="63"/>
    <x v="905"/>
    <x v="4"/>
    <x v="0"/>
    <x v="7"/>
    <x v="0"/>
    <x v="2"/>
    <x v="4"/>
    <n v="36"/>
    <n v="30"/>
    <n v="0.02"/>
    <x v="44"/>
    <x v="859"/>
    <n v="1065.5"/>
    <n v="0.99"/>
    <x v="0"/>
  </r>
  <r>
    <x v="39"/>
    <x v="906"/>
    <x v="2"/>
    <x v="2"/>
    <x v="8"/>
    <x v="5"/>
    <x v="0"/>
    <x v="2"/>
    <n v="63"/>
    <n v="180"/>
    <n v="0.04"/>
    <x v="95"/>
    <x v="860"/>
    <n v="11702.2"/>
    <n v="0.93"/>
    <x v="1"/>
  </r>
  <r>
    <x v="136"/>
    <x v="907"/>
    <x v="0"/>
    <x v="2"/>
    <x v="2"/>
    <x v="1"/>
    <x v="1"/>
    <x v="1"/>
    <n v="103"/>
    <n v="250"/>
    <n v="0.03"/>
    <x v="176"/>
    <x v="861"/>
    <n v="26420.05"/>
    <n v="0.95"/>
    <x v="1"/>
  </r>
  <r>
    <x v="35"/>
    <x v="908"/>
    <x v="3"/>
    <x v="1"/>
    <x v="3"/>
    <x v="2"/>
    <x v="1"/>
    <x v="1"/>
    <n v="17"/>
    <n v="250"/>
    <n v="0.11"/>
    <x v="519"/>
    <x v="862"/>
    <n v="4086.45"/>
    <n v="0.93"/>
    <x v="1"/>
  </r>
  <r>
    <x v="10"/>
    <x v="909"/>
    <x v="1"/>
    <x v="0"/>
    <x v="7"/>
    <x v="0"/>
    <x v="0"/>
    <x v="0"/>
    <n v="146"/>
    <n v="35"/>
    <n v="0.06"/>
    <x v="392"/>
    <x v="863"/>
    <n v="5446.05"/>
    <n v="0.88"/>
    <x v="1"/>
  </r>
  <r>
    <x v="151"/>
    <x v="910"/>
    <x v="5"/>
    <x v="2"/>
    <x v="4"/>
    <x v="2"/>
    <x v="2"/>
    <x v="5"/>
    <n v="166"/>
    <n v="40"/>
    <n v="0.08"/>
    <x v="169"/>
    <x v="864"/>
    <n v="5152.4799999999996"/>
    <n v="1.19"/>
    <x v="1"/>
  </r>
  <r>
    <x v="162"/>
    <x v="911"/>
    <x v="5"/>
    <x v="1"/>
    <x v="1"/>
    <x v="0"/>
    <x v="2"/>
    <x v="4"/>
    <n v="63"/>
    <n v="30"/>
    <n v="0.01"/>
    <x v="319"/>
    <x v="865"/>
    <n v="1885.62"/>
    <n v="0.99"/>
    <x v="1"/>
  </r>
  <r>
    <x v="164"/>
    <x v="912"/>
    <x v="4"/>
    <x v="1"/>
    <x v="3"/>
    <x v="0"/>
    <x v="0"/>
    <x v="0"/>
    <n v="5"/>
    <n v="35"/>
    <n v="0.09"/>
    <x v="285"/>
    <x v="866"/>
    <n v="127.58"/>
    <n v="1.25"/>
    <x v="1"/>
  </r>
  <r>
    <x v="116"/>
    <x v="913"/>
    <x v="3"/>
    <x v="1"/>
    <x v="1"/>
    <x v="0"/>
    <x v="0"/>
    <x v="2"/>
    <n v="132"/>
    <n v="180"/>
    <n v="7.0000000000000007E-2"/>
    <x v="112"/>
    <x v="192"/>
    <n v="24521.29"/>
    <n v="0.9"/>
    <x v="1"/>
  </r>
  <r>
    <x v="157"/>
    <x v="914"/>
    <x v="3"/>
    <x v="3"/>
    <x v="5"/>
    <x v="4"/>
    <x v="2"/>
    <x v="4"/>
    <n v="155"/>
    <n v="30"/>
    <n v="0.09"/>
    <x v="523"/>
    <x v="867"/>
    <n v="4810.93"/>
    <n v="0.88"/>
    <x v="1"/>
  </r>
  <r>
    <x v="48"/>
    <x v="915"/>
    <x v="4"/>
    <x v="2"/>
    <x v="8"/>
    <x v="3"/>
    <x v="2"/>
    <x v="5"/>
    <n v="46"/>
    <n v="40"/>
    <n v="0.11"/>
    <x v="524"/>
    <x v="868"/>
    <n v="1603.95"/>
    <n v="1.02"/>
    <x v="1"/>
  </r>
  <r>
    <x v="55"/>
    <x v="916"/>
    <x v="4"/>
    <x v="2"/>
    <x v="2"/>
    <x v="2"/>
    <x v="0"/>
    <x v="0"/>
    <n v="90"/>
    <n v="35"/>
    <n v="0.06"/>
    <x v="525"/>
    <x v="869"/>
    <n v="2658.56"/>
    <n v="1.1100000000000001"/>
    <x v="0"/>
  </r>
  <r>
    <x v="47"/>
    <x v="917"/>
    <x v="3"/>
    <x v="1"/>
    <x v="3"/>
    <x v="3"/>
    <x v="2"/>
    <x v="4"/>
    <n v="170"/>
    <n v="30"/>
    <n v="0.03"/>
    <x v="526"/>
    <x v="870"/>
    <n v="5318.78"/>
    <n v="0.93"/>
    <x v="0"/>
  </r>
  <r>
    <x v="4"/>
    <x v="918"/>
    <x v="5"/>
    <x v="1"/>
    <x v="3"/>
    <x v="4"/>
    <x v="0"/>
    <x v="2"/>
    <n v="114"/>
    <n v="180"/>
    <n v="0.06"/>
    <x v="214"/>
    <x v="768"/>
    <n v="18831.07"/>
    <n v="1.02"/>
    <x v="1"/>
  </r>
  <r>
    <x v="169"/>
    <x v="919"/>
    <x v="0"/>
    <x v="0"/>
    <x v="7"/>
    <x v="4"/>
    <x v="0"/>
    <x v="2"/>
    <n v="53"/>
    <n v="180"/>
    <n v="0.13"/>
    <x v="527"/>
    <x v="871"/>
    <n v="8539.44"/>
    <n v="0.97"/>
    <x v="0"/>
  </r>
  <r>
    <x v="72"/>
    <x v="920"/>
    <x v="2"/>
    <x v="3"/>
    <x v="5"/>
    <x v="5"/>
    <x v="1"/>
    <x v="3"/>
    <n v="89"/>
    <n v="120"/>
    <n v="0.14000000000000001"/>
    <x v="528"/>
    <x v="872"/>
    <n v="10214.76"/>
    <n v="0.9"/>
    <x v="0"/>
  </r>
  <r>
    <x v="129"/>
    <x v="921"/>
    <x v="5"/>
    <x v="0"/>
    <x v="0"/>
    <x v="5"/>
    <x v="2"/>
    <x v="5"/>
    <n v="153"/>
    <n v="40"/>
    <n v="0.04"/>
    <x v="222"/>
    <x v="270"/>
    <n v="5409.6"/>
    <n v="1.0900000000000001"/>
    <x v="1"/>
  </r>
  <r>
    <x v="149"/>
    <x v="922"/>
    <x v="0"/>
    <x v="3"/>
    <x v="9"/>
    <x v="0"/>
    <x v="0"/>
    <x v="0"/>
    <n v="55"/>
    <n v="35"/>
    <n v="0.14000000000000001"/>
    <x v="529"/>
    <x v="873"/>
    <n v="1921.95"/>
    <n v="0.86"/>
    <x v="1"/>
  </r>
  <r>
    <x v="12"/>
    <x v="923"/>
    <x v="5"/>
    <x v="3"/>
    <x v="9"/>
    <x v="5"/>
    <x v="2"/>
    <x v="5"/>
    <n v="181"/>
    <n v="40"/>
    <n v="7.0000000000000007E-2"/>
    <x v="530"/>
    <x v="874"/>
    <n v="7955.94"/>
    <n v="0.85"/>
    <x v="0"/>
  </r>
  <r>
    <x v="53"/>
    <x v="924"/>
    <x v="4"/>
    <x v="0"/>
    <x v="0"/>
    <x v="0"/>
    <x v="1"/>
    <x v="1"/>
    <n v="170"/>
    <n v="250"/>
    <n v="0.15"/>
    <x v="531"/>
    <x v="875"/>
    <n v="33138.660000000003"/>
    <n v="1.0900000000000001"/>
    <x v="0"/>
  </r>
  <r>
    <x v="34"/>
    <x v="925"/>
    <x v="2"/>
    <x v="0"/>
    <x v="7"/>
    <x v="3"/>
    <x v="1"/>
    <x v="3"/>
    <n v="22"/>
    <n v="120"/>
    <n v="7.0000000000000007E-2"/>
    <x v="69"/>
    <x v="876"/>
    <n v="2175"/>
    <n v="1.1299999999999999"/>
    <x v="0"/>
  </r>
  <r>
    <x v="108"/>
    <x v="926"/>
    <x v="3"/>
    <x v="0"/>
    <x v="7"/>
    <x v="0"/>
    <x v="0"/>
    <x v="2"/>
    <n v="128"/>
    <n v="180"/>
    <n v="0.02"/>
    <x v="276"/>
    <x v="877"/>
    <n v="19545.91"/>
    <n v="1.1599999999999999"/>
    <x v="0"/>
  </r>
  <r>
    <x v="111"/>
    <x v="927"/>
    <x v="1"/>
    <x v="0"/>
    <x v="0"/>
    <x v="0"/>
    <x v="0"/>
    <x v="2"/>
    <n v="74"/>
    <n v="180"/>
    <n v="0.01"/>
    <x v="532"/>
    <x v="878"/>
    <n v="13724.38"/>
    <n v="0.96"/>
    <x v="1"/>
  </r>
  <r>
    <x v="120"/>
    <x v="928"/>
    <x v="4"/>
    <x v="2"/>
    <x v="6"/>
    <x v="1"/>
    <x v="1"/>
    <x v="1"/>
    <n v="148"/>
    <n v="250"/>
    <n v="0.1"/>
    <x v="3"/>
    <x v="3"/>
    <n v="36723.58"/>
    <n v="0.91"/>
    <x v="0"/>
  </r>
  <r>
    <x v="47"/>
    <x v="929"/>
    <x v="3"/>
    <x v="3"/>
    <x v="10"/>
    <x v="5"/>
    <x v="0"/>
    <x v="2"/>
    <n v="182"/>
    <n v="180"/>
    <n v="0.04"/>
    <x v="533"/>
    <x v="879"/>
    <n v="26322.07"/>
    <n v="1.19"/>
    <x v="0"/>
  </r>
  <r>
    <x v="104"/>
    <x v="930"/>
    <x v="5"/>
    <x v="1"/>
    <x v="3"/>
    <x v="5"/>
    <x v="2"/>
    <x v="5"/>
    <n v="140"/>
    <n v="40"/>
    <n v="0.08"/>
    <x v="340"/>
    <x v="880"/>
    <n v="5372.5"/>
    <n v="0.96"/>
    <x v="1"/>
  </r>
  <r>
    <x v="100"/>
    <x v="931"/>
    <x v="3"/>
    <x v="3"/>
    <x v="9"/>
    <x v="4"/>
    <x v="0"/>
    <x v="2"/>
    <n v="185"/>
    <n v="180"/>
    <n v="0.04"/>
    <x v="398"/>
    <x v="881"/>
    <n v="27390.03"/>
    <n v="1.17"/>
    <x v="1"/>
  </r>
  <r>
    <x v="176"/>
    <x v="932"/>
    <x v="4"/>
    <x v="2"/>
    <x v="4"/>
    <x v="0"/>
    <x v="0"/>
    <x v="2"/>
    <n v="41"/>
    <n v="180"/>
    <n v="0.06"/>
    <x v="534"/>
    <x v="882"/>
    <n v="8137.83"/>
    <n v="0.85"/>
    <x v="0"/>
  </r>
  <r>
    <x v="46"/>
    <x v="933"/>
    <x v="5"/>
    <x v="1"/>
    <x v="1"/>
    <x v="5"/>
    <x v="0"/>
    <x v="2"/>
    <n v="152"/>
    <n v="180"/>
    <n v="0.14000000000000001"/>
    <x v="413"/>
    <x v="883"/>
    <n v="23914.52"/>
    <n v="0.98"/>
    <x v="1"/>
  </r>
  <r>
    <x v="99"/>
    <x v="934"/>
    <x v="0"/>
    <x v="2"/>
    <x v="6"/>
    <x v="4"/>
    <x v="0"/>
    <x v="2"/>
    <n v="43"/>
    <n v="180"/>
    <n v="0.15"/>
    <x v="535"/>
    <x v="884"/>
    <n v="7626.25"/>
    <n v="0.86"/>
    <x v="1"/>
  </r>
  <r>
    <x v="130"/>
    <x v="935"/>
    <x v="4"/>
    <x v="3"/>
    <x v="10"/>
    <x v="1"/>
    <x v="0"/>
    <x v="2"/>
    <n v="54"/>
    <n v="180"/>
    <n v="0.11"/>
    <x v="365"/>
    <x v="885"/>
    <n v="9159.41"/>
    <n v="0.94"/>
    <x v="0"/>
  </r>
  <r>
    <x v="69"/>
    <x v="936"/>
    <x v="5"/>
    <x v="3"/>
    <x v="5"/>
    <x v="5"/>
    <x v="1"/>
    <x v="1"/>
    <n v="112"/>
    <n v="250"/>
    <n v="0.05"/>
    <x v="536"/>
    <x v="886"/>
    <n v="29824.36"/>
    <n v="0.89"/>
    <x v="0"/>
  </r>
  <r>
    <x v="177"/>
    <x v="937"/>
    <x v="5"/>
    <x v="3"/>
    <x v="5"/>
    <x v="4"/>
    <x v="0"/>
    <x v="2"/>
    <n v="68"/>
    <n v="180"/>
    <n v="0.08"/>
    <x v="227"/>
    <x v="887"/>
    <n v="9090.01"/>
    <n v="1.24"/>
    <x v="0"/>
  </r>
  <r>
    <x v="79"/>
    <x v="938"/>
    <x v="3"/>
    <x v="0"/>
    <x v="7"/>
    <x v="4"/>
    <x v="0"/>
    <x v="0"/>
    <n v="140"/>
    <n v="35"/>
    <n v="0.05"/>
    <x v="537"/>
    <x v="888"/>
    <n v="4009.97"/>
    <n v="1.1599999999999999"/>
    <x v="0"/>
  </r>
  <r>
    <x v="23"/>
    <x v="939"/>
    <x v="2"/>
    <x v="2"/>
    <x v="2"/>
    <x v="0"/>
    <x v="2"/>
    <x v="5"/>
    <n v="50"/>
    <n v="40"/>
    <n v="0.04"/>
    <x v="39"/>
    <x v="335"/>
    <n v="1995.04"/>
    <n v="0.96"/>
    <x v="1"/>
  </r>
  <r>
    <x v="91"/>
    <x v="940"/>
    <x v="1"/>
    <x v="1"/>
    <x v="3"/>
    <x v="4"/>
    <x v="2"/>
    <x v="5"/>
    <n v="154"/>
    <n v="40"/>
    <n v="0.09"/>
    <x v="538"/>
    <x v="889"/>
    <n v="5741.74"/>
    <n v="0.98"/>
    <x v="1"/>
  </r>
  <r>
    <x v="112"/>
    <x v="941"/>
    <x v="2"/>
    <x v="3"/>
    <x v="9"/>
    <x v="4"/>
    <x v="1"/>
    <x v="1"/>
    <n v="39"/>
    <n v="250"/>
    <n v="7.0000000000000007E-2"/>
    <x v="539"/>
    <x v="890"/>
    <n v="9588.7800000000007"/>
    <n v="0.95"/>
    <x v="1"/>
  </r>
  <r>
    <x v="155"/>
    <x v="942"/>
    <x v="0"/>
    <x v="3"/>
    <x v="9"/>
    <x v="4"/>
    <x v="2"/>
    <x v="5"/>
    <n v="164"/>
    <n v="40"/>
    <n v="0.06"/>
    <x v="67"/>
    <x v="891"/>
    <n v="5506.69"/>
    <n v="1.1200000000000001"/>
    <x v="1"/>
  </r>
  <r>
    <x v="174"/>
    <x v="943"/>
    <x v="5"/>
    <x v="0"/>
    <x v="7"/>
    <x v="1"/>
    <x v="0"/>
    <x v="0"/>
    <n v="45"/>
    <n v="35"/>
    <n v="0.02"/>
    <x v="242"/>
    <x v="892"/>
    <n v="1652.28"/>
    <n v="0.93"/>
    <x v="0"/>
  </r>
  <r>
    <x v="90"/>
    <x v="944"/>
    <x v="3"/>
    <x v="0"/>
    <x v="0"/>
    <x v="3"/>
    <x v="0"/>
    <x v="2"/>
    <n v="10"/>
    <n v="180"/>
    <n v="7.0000000000000007E-2"/>
    <x v="31"/>
    <x v="763"/>
    <n v="1966.41"/>
    <n v="0.85"/>
    <x v="0"/>
  </r>
  <r>
    <x v="52"/>
    <x v="945"/>
    <x v="1"/>
    <x v="0"/>
    <x v="7"/>
    <x v="0"/>
    <x v="2"/>
    <x v="4"/>
    <n v="125"/>
    <n v="30"/>
    <n v="0.08"/>
    <x v="540"/>
    <x v="893"/>
    <n v="3481.8"/>
    <n v="0.99"/>
    <x v="0"/>
  </r>
  <r>
    <x v="134"/>
    <x v="946"/>
    <x v="4"/>
    <x v="3"/>
    <x v="10"/>
    <x v="5"/>
    <x v="2"/>
    <x v="5"/>
    <n v="157"/>
    <n v="40"/>
    <n v="0.1"/>
    <x v="480"/>
    <x v="894"/>
    <n v="4650.18"/>
    <n v="1.22"/>
    <x v="1"/>
  </r>
  <r>
    <x v="71"/>
    <x v="947"/>
    <x v="0"/>
    <x v="2"/>
    <x v="8"/>
    <x v="1"/>
    <x v="2"/>
    <x v="5"/>
    <n v="98"/>
    <n v="40"/>
    <n v="0.01"/>
    <x v="20"/>
    <x v="895"/>
    <n v="3757.29"/>
    <n v="1.03"/>
    <x v="0"/>
  </r>
  <r>
    <x v="173"/>
    <x v="948"/>
    <x v="5"/>
    <x v="2"/>
    <x v="2"/>
    <x v="5"/>
    <x v="1"/>
    <x v="3"/>
    <n v="133"/>
    <n v="120"/>
    <n v="0.1"/>
    <x v="541"/>
    <x v="896"/>
    <n v="14811.58"/>
    <n v="0.97"/>
    <x v="0"/>
  </r>
  <r>
    <x v="90"/>
    <x v="949"/>
    <x v="2"/>
    <x v="0"/>
    <x v="7"/>
    <x v="3"/>
    <x v="0"/>
    <x v="2"/>
    <n v="111"/>
    <n v="180"/>
    <n v="0.06"/>
    <x v="252"/>
    <x v="897"/>
    <n v="15837.63"/>
    <n v="1.19"/>
    <x v="1"/>
  </r>
  <r>
    <x v="4"/>
    <x v="950"/>
    <x v="3"/>
    <x v="3"/>
    <x v="10"/>
    <x v="2"/>
    <x v="2"/>
    <x v="4"/>
    <n v="95"/>
    <n v="30"/>
    <n v="0.05"/>
    <x v="542"/>
    <x v="898"/>
    <n v="2356.71"/>
    <n v="1.1499999999999999"/>
    <x v="0"/>
  </r>
  <r>
    <x v="67"/>
    <x v="951"/>
    <x v="1"/>
    <x v="2"/>
    <x v="4"/>
    <x v="4"/>
    <x v="2"/>
    <x v="5"/>
    <n v="149"/>
    <n v="40"/>
    <n v="0.03"/>
    <x v="40"/>
    <x v="899"/>
    <n v="6904.38"/>
    <n v="0.84"/>
    <x v="0"/>
  </r>
  <r>
    <x v="112"/>
    <x v="952"/>
    <x v="1"/>
    <x v="3"/>
    <x v="10"/>
    <x v="4"/>
    <x v="0"/>
    <x v="0"/>
    <n v="144"/>
    <n v="35"/>
    <n v="0.11"/>
    <x v="124"/>
    <x v="900"/>
    <n v="4490.72"/>
    <n v="1"/>
    <x v="0"/>
  </r>
  <r>
    <x v="131"/>
    <x v="953"/>
    <x v="4"/>
    <x v="1"/>
    <x v="3"/>
    <x v="3"/>
    <x v="0"/>
    <x v="2"/>
    <n v="48"/>
    <n v="180"/>
    <n v="0.06"/>
    <x v="109"/>
    <x v="901"/>
    <n v="6826.78"/>
    <n v="1.19"/>
    <x v="0"/>
  </r>
  <r>
    <x v="171"/>
    <x v="954"/>
    <x v="5"/>
    <x v="0"/>
    <x v="7"/>
    <x v="2"/>
    <x v="2"/>
    <x v="4"/>
    <n v="98"/>
    <n v="30"/>
    <n v="0.13"/>
    <x v="543"/>
    <x v="902"/>
    <n v="2494.54"/>
    <n v="1.03"/>
    <x v="0"/>
  </r>
  <r>
    <x v="7"/>
    <x v="955"/>
    <x v="3"/>
    <x v="3"/>
    <x v="5"/>
    <x v="3"/>
    <x v="0"/>
    <x v="0"/>
    <n v="156"/>
    <n v="35"/>
    <n v="0.04"/>
    <x v="232"/>
    <x v="903"/>
    <n v="5351.68"/>
    <n v="0.98"/>
    <x v="0"/>
  </r>
  <r>
    <x v="13"/>
    <x v="956"/>
    <x v="3"/>
    <x v="2"/>
    <x v="4"/>
    <x v="5"/>
    <x v="0"/>
    <x v="0"/>
    <n v="32"/>
    <n v="35"/>
    <n v="0.14000000000000001"/>
    <x v="184"/>
    <x v="904"/>
    <n v="947.66"/>
    <n v="1.02"/>
    <x v="1"/>
  </r>
  <r>
    <x v="35"/>
    <x v="957"/>
    <x v="0"/>
    <x v="2"/>
    <x v="2"/>
    <x v="3"/>
    <x v="0"/>
    <x v="0"/>
    <n v="84"/>
    <n v="35"/>
    <n v="0.15"/>
    <x v="543"/>
    <x v="905"/>
    <n v="2667.6"/>
    <n v="0.94"/>
    <x v="0"/>
  </r>
  <r>
    <x v="45"/>
    <x v="958"/>
    <x v="4"/>
    <x v="2"/>
    <x v="2"/>
    <x v="1"/>
    <x v="2"/>
    <x v="4"/>
    <n v="174"/>
    <n v="30"/>
    <n v="0.13"/>
    <x v="161"/>
    <x v="179"/>
    <n v="4986.05"/>
    <n v="0.91"/>
    <x v="0"/>
  </r>
  <r>
    <x v="136"/>
    <x v="959"/>
    <x v="0"/>
    <x v="3"/>
    <x v="9"/>
    <x v="2"/>
    <x v="2"/>
    <x v="4"/>
    <n v="83"/>
    <n v="30"/>
    <n v="0.1"/>
    <x v="544"/>
    <x v="906"/>
    <n v="2331.77"/>
    <n v="0.96"/>
    <x v="0"/>
  </r>
  <r>
    <x v="159"/>
    <x v="960"/>
    <x v="4"/>
    <x v="3"/>
    <x v="10"/>
    <x v="0"/>
    <x v="0"/>
    <x v="0"/>
    <n v="54"/>
    <n v="35"/>
    <n v="0.09"/>
    <x v="319"/>
    <x v="907"/>
    <n v="1636.47"/>
    <n v="1.05"/>
    <x v="1"/>
  </r>
  <r>
    <x v="99"/>
    <x v="961"/>
    <x v="2"/>
    <x v="3"/>
    <x v="10"/>
    <x v="1"/>
    <x v="1"/>
    <x v="1"/>
    <n v="75"/>
    <n v="250"/>
    <n v="7.0000000000000007E-2"/>
    <x v="442"/>
    <x v="908"/>
    <n v="19100.8"/>
    <n v="0.91"/>
    <x v="0"/>
  </r>
  <r>
    <x v="70"/>
    <x v="962"/>
    <x v="4"/>
    <x v="2"/>
    <x v="4"/>
    <x v="4"/>
    <x v="2"/>
    <x v="5"/>
    <n v="127"/>
    <n v="40"/>
    <n v="0.14000000000000001"/>
    <x v="545"/>
    <x v="909"/>
    <n v="4699"/>
    <n v="0.93"/>
    <x v="0"/>
  </r>
  <r>
    <x v="113"/>
    <x v="963"/>
    <x v="1"/>
    <x v="2"/>
    <x v="6"/>
    <x v="2"/>
    <x v="0"/>
    <x v="2"/>
    <n v="148"/>
    <n v="180"/>
    <n v="0.11"/>
    <x v="256"/>
    <x v="910"/>
    <n v="24091.62"/>
    <n v="0.98"/>
    <x v="1"/>
  </r>
  <r>
    <x v="126"/>
    <x v="964"/>
    <x v="5"/>
    <x v="3"/>
    <x v="5"/>
    <x v="1"/>
    <x v="0"/>
    <x v="0"/>
    <n v="117"/>
    <n v="35"/>
    <n v="0.03"/>
    <x v="11"/>
    <x v="911"/>
    <n v="4012.86"/>
    <n v="0.99"/>
    <x v="1"/>
  </r>
  <r>
    <x v="149"/>
    <x v="965"/>
    <x v="1"/>
    <x v="3"/>
    <x v="9"/>
    <x v="5"/>
    <x v="1"/>
    <x v="3"/>
    <n v="83"/>
    <n v="120"/>
    <n v="0.08"/>
    <x v="546"/>
    <x v="912"/>
    <n v="10539.47"/>
    <n v="0.87"/>
    <x v="1"/>
  </r>
  <r>
    <x v="66"/>
    <x v="966"/>
    <x v="0"/>
    <x v="1"/>
    <x v="1"/>
    <x v="5"/>
    <x v="1"/>
    <x v="1"/>
    <n v="193"/>
    <n v="250"/>
    <n v="0.1"/>
    <x v="160"/>
    <x v="913"/>
    <n v="46641.49"/>
    <n v="0.93"/>
    <x v="0"/>
  </r>
  <r>
    <x v="12"/>
    <x v="967"/>
    <x v="4"/>
    <x v="1"/>
    <x v="3"/>
    <x v="0"/>
    <x v="0"/>
    <x v="2"/>
    <n v="133"/>
    <n v="180"/>
    <n v="0.13"/>
    <x v="499"/>
    <x v="792"/>
    <n v="21117.7"/>
    <n v="0.99"/>
    <x v="1"/>
  </r>
  <r>
    <x v="90"/>
    <x v="968"/>
    <x v="3"/>
    <x v="2"/>
    <x v="2"/>
    <x v="3"/>
    <x v="2"/>
    <x v="4"/>
    <n v="111"/>
    <n v="30"/>
    <n v="0.02"/>
    <x v="547"/>
    <x v="914"/>
    <n v="3325.34"/>
    <n v="0.98"/>
    <x v="1"/>
  </r>
  <r>
    <x v="145"/>
    <x v="969"/>
    <x v="5"/>
    <x v="0"/>
    <x v="7"/>
    <x v="4"/>
    <x v="0"/>
    <x v="2"/>
    <n v="12"/>
    <n v="180"/>
    <n v="0.08"/>
    <x v="311"/>
    <x v="604"/>
    <n v="2000.05"/>
    <n v="0.99"/>
    <x v="0"/>
  </r>
  <r>
    <x v="178"/>
    <x v="970"/>
    <x v="2"/>
    <x v="1"/>
    <x v="3"/>
    <x v="4"/>
    <x v="2"/>
    <x v="4"/>
    <n v="65"/>
    <n v="30"/>
    <n v="0.04"/>
    <x v="548"/>
    <x v="915"/>
    <n v="1858.12"/>
    <n v="1.01"/>
    <x v="0"/>
  </r>
  <r>
    <x v="174"/>
    <x v="971"/>
    <x v="0"/>
    <x v="2"/>
    <x v="4"/>
    <x v="2"/>
    <x v="1"/>
    <x v="1"/>
    <n v="78"/>
    <n v="250"/>
    <n v="0.08"/>
    <x v="197"/>
    <x v="330"/>
    <n v="14786.94"/>
    <n v="1.21"/>
    <x v="1"/>
  </r>
  <r>
    <x v="14"/>
    <x v="972"/>
    <x v="5"/>
    <x v="0"/>
    <x v="7"/>
    <x v="3"/>
    <x v="1"/>
    <x v="3"/>
    <n v="14"/>
    <n v="120"/>
    <n v="0.13"/>
    <x v="362"/>
    <x v="916"/>
    <n v="1530.09"/>
    <n v="0.96"/>
    <x v="0"/>
  </r>
  <r>
    <x v="91"/>
    <x v="973"/>
    <x v="3"/>
    <x v="2"/>
    <x v="4"/>
    <x v="1"/>
    <x v="1"/>
    <x v="3"/>
    <n v="145"/>
    <n v="120"/>
    <n v="0.1"/>
    <x v="549"/>
    <x v="917"/>
    <n v="12930.65"/>
    <n v="1.21"/>
    <x v="0"/>
  </r>
  <r>
    <x v="106"/>
    <x v="974"/>
    <x v="5"/>
    <x v="1"/>
    <x v="3"/>
    <x v="0"/>
    <x v="2"/>
    <x v="5"/>
    <n v="128"/>
    <n v="40"/>
    <n v="0.13"/>
    <x v="165"/>
    <x v="918"/>
    <n v="5069.9799999999996"/>
    <n v="0.88"/>
    <x v="1"/>
  </r>
  <r>
    <x v="105"/>
    <x v="975"/>
    <x v="4"/>
    <x v="3"/>
    <x v="5"/>
    <x v="5"/>
    <x v="0"/>
    <x v="0"/>
    <n v="141"/>
    <n v="35"/>
    <n v="0.12"/>
    <x v="249"/>
    <x v="919"/>
    <n v="3612.28"/>
    <n v="1.2"/>
    <x v="1"/>
  </r>
  <r>
    <x v="100"/>
    <x v="976"/>
    <x v="2"/>
    <x v="2"/>
    <x v="6"/>
    <x v="5"/>
    <x v="2"/>
    <x v="4"/>
    <n v="156"/>
    <n v="30"/>
    <n v="0.11"/>
    <x v="6"/>
    <x v="6"/>
    <n v="4462.6899999999996"/>
    <n v="0.93"/>
    <x v="0"/>
  </r>
  <r>
    <x v="51"/>
    <x v="977"/>
    <x v="5"/>
    <x v="2"/>
    <x v="6"/>
    <x v="5"/>
    <x v="2"/>
    <x v="5"/>
    <n v="189"/>
    <n v="40"/>
    <n v="0.02"/>
    <x v="550"/>
    <x v="920"/>
    <n v="7229.05"/>
    <n v="1.02"/>
    <x v="0"/>
  </r>
  <r>
    <x v="25"/>
    <x v="978"/>
    <x v="4"/>
    <x v="2"/>
    <x v="4"/>
    <x v="5"/>
    <x v="1"/>
    <x v="3"/>
    <n v="94"/>
    <n v="120"/>
    <n v="0.09"/>
    <x v="387"/>
    <x v="921"/>
    <n v="8299.1"/>
    <n v="1.24"/>
    <x v="0"/>
  </r>
  <r>
    <x v="30"/>
    <x v="979"/>
    <x v="1"/>
    <x v="1"/>
    <x v="1"/>
    <x v="5"/>
    <x v="1"/>
    <x v="1"/>
    <n v="144"/>
    <n v="250"/>
    <n v="0.12"/>
    <x v="551"/>
    <x v="922"/>
    <n v="32911.83"/>
    <n v="0.96"/>
    <x v="0"/>
  </r>
  <r>
    <x v="120"/>
    <x v="980"/>
    <x v="4"/>
    <x v="2"/>
    <x v="8"/>
    <x v="4"/>
    <x v="1"/>
    <x v="1"/>
    <n v="11"/>
    <n v="250"/>
    <n v="0.11"/>
    <x v="142"/>
    <x v="923"/>
    <n v="2236.42"/>
    <n v="1.0900000000000001"/>
    <x v="0"/>
  </r>
  <r>
    <x v="94"/>
    <x v="981"/>
    <x v="3"/>
    <x v="1"/>
    <x v="1"/>
    <x v="2"/>
    <x v="0"/>
    <x v="0"/>
    <n v="93"/>
    <n v="35"/>
    <n v="0.04"/>
    <x v="399"/>
    <x v="760"/>
    <n v="3601.75"/>
    <n v="0.87"/>
    <x v="0"/>
  </r>
  <r>
    <x v="179"/>
    <x v="982"/>
    <x v="3"/>
    <x v="0"/>
    <x v="0"/>
    <x v="0"/>
    <x v="0"/>
    <x v="0"/>
    <n v="131"/>
    <n v="35"/>
    <n v="0.02"/>
    <x v="376"/>
    <x v="924"/>
    <n v="3695.49"/>
    <n v="1.22"/>
    <x v="0"/>
  </r>
  <r>
    <x v="158"/>
    <x v="983"/>
    <x v="3"/>
    <x v="2"/>
    <x v="6"/>
    <x v="1"/>
    <x v="1"/>
    <x v="1"/>
    <n v="42"/>
    <n v="250"/>
    <n v="7.0000000000000007E-2"/>
    <x v="491"/>
    <x v="925"/>
    <n v="9901.82"/>
    <n v="0.99"/>
    <x v="0"/>
  </r>
  <r>
    <x v="92"/>
    <x v="984"/>
    <x v="5"/>
    <x v="3"/>
    <x v="10"/>
    <x v="1"/>
    <x v="1"/>
    <x v="1"/>
    <n v="10"/>
    <n v="250"/>
    <n v="0.02"/>
    <x v="343"/>
    <x v="926"/>
    <n v="2044.84"/>
    <n v="1.2"/>
    <x v="1"/>
  </r>
  <r>
    <x v="153"/>
    <x v="985"/>
    <x v="4"/>
    <x v="0"/>
    <x v="7"/>
    <x v="2"/>
    <x v="1"/>
    <x v="3"/>
    <n v="29"/>
    <n v="120"/>
    <n v="0.03"/>
    <x v="97"/>
    <x v="143"/>
    <n v="3735.48"/>
    <n v="0.9"/>
    <x v="0"/>
  </r>
  <r>
    <x v="96"/>
    <x v="986"/>
    <x v="1"/>
    <x v="1"/>
    <x v="1"/>
    <x v="0"/>
    <x v="1"/>
    <x v="1"/>
    <n v="168"/>
    <n v="250"/>
    <n v="0.13"/>
    <x v="141"/>
    <x v="927"/>
    <n v="32050.05"/>
    <n v="1.1399999999999999"/>
    <x v="0"/>
  </r>
  <r>
    <x v="129"/>
    <x v="987"/>
    <x v="2"/>
    <x v="3"/>
    <x v="5"/>
    <x v="0"/>
    <x v="0"/>
    <x v="0"/>
    <n v="165"/>
    <n v="35"/>
    <n v="0.01"/>
    <x v="123"/>
    <x v="928"/>
    <n v="5443.16"/>
    <n v="1.05"/>
    <x v="1"/>
  </r>
  <r>
    <x v="36"/>
    <x v="988"/>
    <x v="3"/>
    <x v="1"/>
    <x v="3"/>
    <x v="2"/>
    <x v="2"/>
    <x v="5"/>
    <n v="67"/>
    <n v="40"/>
    <n v="0.05"/>
    <x v="226"/>
    <x v="929"/>
    <n v="2619.59"/>
    <n v="0.97"/>
    <x v="0"/>
  </r>
  <r>
    <x v="133"/>
    <x v="989"/>
    <x v="2"/>
    <x v="3"/>
    <x v="5"/>
    <x v="0"/>
    <x v="0"/>
    <x v="0"/>
    <n v="44"/>
    <n v="35"/>
    <n v="0.11"/>
    <x v="552"/>
    <x v="930"/>
    <n v="1600.1"/>
    <n v="0.86"/>
    <x v="0"/>
  </r>
  <r>
    <x v="157"/>
    <x v="990"/>
    <x v="3"/>
    <x v="2"/>
    <x v="4"/>
    <x v="1"/>
    <x v="1"/>
    <x v="1"/>
    <n v="187"/>
    <n v="250"/>
    <n v="0.03"/>
    <x v="30"/>
    <x v="931"/>
    <n v="38877"/>
    <n v="1.17"/>
    <x v="1"/>
  </r>
  <r>
    <x v="166"/>
    <x v="991"/>
    <x v="4"/>
    <x v="3"/>
    <x v="10"/>
    <x v="1"/>
    <x v="1"/>
    <x v="3"/>
    <n v="157"/>
    <n v="120"/>
    <n v="0.15"/>
    <x v="553"/>
    <x v="932"/>
    <n v="18261.150000000001"/>
    <n v="0.88"/>
    <x v="0"/>
  </r>
  <r>
    <x v="13"/>
    <x v="992"/>
    <x v="5"/>
    <x v="1"/>
    <x v="3"/>
    <x v="0"/>
    <x v="0"/>
    <x v="2"/>
    <n v="161"/>
    <n v="180"/>
    <n v="0.04"/>
    <x v="554"/>
    <x v="933"/>
    <n v="27940.31"/>
    <n v="1"/>
    <x v="0"/>
  </r>
  <r>
    <x v="153"/>
    <x v="993"/>
    <x v="0"/>
    <x v="1"/>
    <x v="3"/>
    <x v="4"/>
    <x v="2"/>
    <x v="5"/>
    <n v="57"/>
    <n v="40"/>
    <n v="0.1"/>
    <x v="555"/>
    <x v="582"/>
    <n v="2315.9499999999998"/>
    <n v="0.89"/>
    <x v="1"/>
  </r>
  <r>
    <x v="175"/>
    <x v="994"/>
    <x v="5"/>
    <x v="2"/>
    <x v="4"/>
    <x v="2"/>
    <x v="0"/>
    <x v="0"/>
    <n v="171"/>
    <n v="35"/>
    <n v="7.0000000000000007E-2"/>
    <x v="236"/>
    <x v="934"/>
    <n v="5383.34"/>
    <n v="1.03"/>
    <x v="0"/>
  </r>
  <r>
    <x v="6"/>
    <x v="995"/>
    <x v="3"/>
    <x v="1"/>
    <x v="1"/>
    <x v="3"/>
    <x v="0"/>
    <x v="0"/>
    <n v="22"/>
    <n v="35"/>
    <n v="0.15"/>
    <x v="189"/>
    <x v="935"/>
    <n v="632.71"/>
    <n v="1.03"/>
    <x v="0"/>
  </r>
  <r>
    <x v="86"/>
    <x v="996"/>
    <x v="2"/>
    <x v="1"/>
    <x v="1"/>
    <x v="3"/>
    <x v="1"/>
    <x v="1"/>
    <n v="181"/>
    <n v="250"/>
    <n v="0.06"/>
    <x v="451"/>
    <x v="936"/>
    <n v="45639.76"/>
    <n v="0.93"/>
    <x v="1"/>
  </r>
  <r>
    <x v="103"/>
    <x v="997"/>
    <x v="2"/>
    <x v="1"/>
    <x v="1"/>
    <x v="2"/>
    <x v="2"/>
    <x v="5"/>
    <n v="185"/>
    <n v="40"/>
    <n v="0.14000000000000001"/>
    <x v="229"/>
    <x v="937"/>
    <n v="5317.56"/>
    <n v="1.2"/>
    <x v="0"/>
  </r>
  <r>
    <x v="55"/>
    <x v="998"/>
    <x v="1"/>
    <x v="2"/>
    <x v="8"/>
    <x v="1"/>
    <x v="1"/>
    <x v="3"/>
    <n v="6"/>
    <n v="120"/>
    <n v="0.14000000000000001"/>
    <x v="190"/>
    <x v="524"/>
    <n v="581.86"/>
    <n v="1.06"/>
    <x v="0"/>
  </r>
  <r>
    <x v="73"/>
    <x v="999"/>
    <x v="2"/>
    <x v="0"/>
    <x v="7"/>
    <x v="2"/>
    <x v="0"/>
    <x v="0"/>
    <n v="20"/>
    <n v="35"/>
    <n v="0.14000000000000001"/>
    <x v="556"/>
    <x v="938"/>
    <n v="618.42999999999995"/>
    <n v="0.9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D1D53D-4D7C-41CF-8B79-6C5302FC036F}" name="PivotTable1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8" rowHeaderCaption="Product Category">
  <location ref="J14:K26" firstHeaderRow="1" firstDataRow="1" firstDataCol="1"/>
  <pivotFields count="18">
    <pivotField numFmtId="164" showAll="0">
      <items count="181">
        <item x="124"/>
        <item x="115"/>
        <item x="113"/>
        <item x="172"/>
        <item x="31"/>
        <item x="36"/>
        <item x="91"/>
        <item x="49"/>
        <item x="131"/>
        <item x="26"/>
        <item x="21"/>
        <item x="151"/>
        <item x="136"/>
        <item x="168"/>
        <item x="57"/>
        <item x="125"/>
        <item x="99"/>
        <item x="83"/>
        <item x="15"/>
        <item x="72"/>
        <item x="140"/>
        <item x="155"/>
        <item x="116"/>
        <item x="154"/>
        <item x="71"/>
        <item x="2"/>
        <item x="61"/>
        <item x="22"/>
        <item x="170"/>
        <item x="32"/>
        <item x="177"/>
        <item x="39"/>
        <item x="46"/>
        <item x="80"/>
        <item x="64"/>
        <item x="123"/>
        <item x="138"/>
        <item x="48"/>
        <item x="128"/>
        <item x="60"/>
        <item x="89"/>
        <item x="75"/>
        <item x="157"/>
        <item x="145"/>
        <item x="179"/>
        <item x="175"/>
        <item x="93"/>
        <item x="162"/>
        <item x="78"/>
        <item x="68"/>
        <item x="69"/>
        <item x="55"/>
        <item x="11"/>
        <item x="135"/>
        <item x="101"/>
        <item x="8"/>
        <item x="107"/>
        <item x="74"/>
        <item x="156"/>
        <item x="59"/>
        <item x="165"/>
        <item x="52"/>
        <item x="27"/>
        <item x="167"/>
        <item x="35"/>
        <item x="119"/>
        <item x="87"/>
        <item x="66"/>
        <item x="150"/>
        <item x="50"/>
        <item x="130"/>
        <item x="79"/>
        <item x="160"/>
        <item x="153"/>
        <item x="42"/>
        <item x="47"/>
        <item x="176"/>
        <item x="73"/>
        <item x="90"/>
        <item x="0"/>
        <item x="120"/>
        <item x="92"/>
        <item x="178"/>
        <item x="13"/>
        <item x="164"/>
        <item x="70"/>
        <item x="118"/>
        <item x="51"/>
        <item x="171"/>
        <item x="97"/>
        <item x="76"/>
        <item x="122"/>
        <item x="133"/>
        <item x="112"/>
        <item x="3"/>
        <item x="102"/>
        <item x="104"/>
        <item x="174"/>
        <item x="117"/>
        <item x="30"/>
        <item x="159"/>
        <item x="141"/>
        <item x="67"/>
        <item x="108"/>
        <item x="19"/>
        <item x="95"/>
        <item x="103"/>
        <item x="9"/>
        <item x="127"/>
        <item x="163"/>
        <item x="106"/>
        <item x="17"/>
        <item x="65"/>
        <item x="109"/>
        <item x="166"/>
        <item x="44"/>
        <item x="58"/>
        <item x="134"/>
        <item x="37"/>
        <item x="146"/>
        <item x="43"/>
        <item x="149"/>
        <item x="5"/>
        <item x="18"/>
        <item x="1"/>
        <item x="63"/>
        <item x="143"/>
        <item x="12"/>
        <item x="7"/>
        <item x="40"/>
        <item x="96"/>
        <item x="132"/>
        <item x="129"/>
        <item x="82"/>
        <item x="158"/>
        <item x="88"/>
        <item x="84"/>
        <item x="169"/>
        <item x="137"/>
        <item x="38"/>
        <item x="14"/>
        <item x="126"/>
        <item x="105"/>
        <item x="62"/>
        <item x="23"/>
        <item x="28"/>
        <item x="6"/>
        <item x="20"/>
        <item x="85"/>
        <item x="34"/>
        <item x="4"/>
        <item x="147"/>
        <item x="10"/>
        <item x="98"/>
        <item x="111"/>
        <item x="33"/>
        <item x="56"/>
        <item x="152"/>
        <item x="139"/>
        <item x="110"/>
        <item x="161"/>
        <item x="114"/>
        <item x="81"/>
        <item x="24"/>
        <item x="144"/>
        <item x="45"/>
        <item x="54"/>
        <item x="41"/>
        <item x="53"/>
        <item x="29"/>
        <item x="94"/>
        <item x="173"/>
        <item x="100"/>
        <item x="148"/>
        <item x="121"/>
        <item x="142"/>
        <item x="25"/>
        <item x="16"/>
        <item x="77"/>
        <item x="86"/>
        <item t="default"/>
      </items>
    </pivotField>
    <pivotField showAll="0"/>
    <pivotField showAll="0">
      <items count="7">
        <item x="2"/>
        <item x="4"/>
        <item x="3"/>
        <item x="5"/>
        <item x="1"/>
        <item x="0"/>
        <item t="default"/>
      </items>
    </pivotField>
    <pivotField showAll="0">
      <items count="5">
        <item x="1"/>
        <item x="3"/>
        <item x="2"/>
        <item x="0"/>
        <item t="default"/>
      </items>
    </pivotField>
    <pivotField axis="axisRow" showAll="0">
      <items count="12">
        <item x="2"/>
        <item x="9"/>
        <item x="0"/>
        <item x="10"/>
        <item x="8"/>
        <item x="7"/>
        <item x="3"/>
        <item x="5"/>
        <item x="4"/>
        <item x="6"/>
        <item x="1"/>
        <item t="default"/>
      </items>
    </pivotField>
    <pivotField showAll="0">
      <items count="7">
        <item x="0"/>
        <item x="3"/>
        <item x="5"/>
        <item x="2"/>
        <item x="4"/>
        <item x="1"/>
        <item t="default"/>
      </items>
    </pivotField>
    <pivotField showAll="0">
      <items count="4">
        <item x="1"/>
        <item x="0"/>
        <item x="2"/>
        <item t="default"/>
      </items>
    </pivotField>
    <pivotField showAll="0">
      <items count="7">
        <item x="4"/>
        <item x="5"/>
        <item x="1"/>
        <item x="2"/>
        <item x="0"/>
        <item x="3"/>
        <item t="default"/>
      </items>
    </pivotField>
    <pivotField dataField="1" showAll="0"/>
    <pivotField showAll="0"/>
    <pivotField showAll="0"/>
    <pivotField showAll="0">
      <items count="558">
        <item x="285"/>
        <item x="46"/>
        <item x="125"/>
        <item x="115"/>
        <item x="396"/>
        <item x="469"/>
        <item x="337"/>
        <item x="120"/>
        <item x="402"/>
        <item x="204"/>
        <item x="246"/>
        <item x="121"/>
        <item x="342"/>
        <item x="327"/>
        <item x="94"/>
        <item x="185"/>
        <item x="323"/>
        <item x="479"/>
        <item x="25"/>
        <item x="281"/>
        <item x="556"/>
        <item x="190"/>
        <item x="423"/>
        <item x="181"/>
        <item x="253"/>
        <item x="189"/>
        <item x="155"/>
        <item x="316"/>
        <item x="439"/>
        <item x="374"/>
        <item x="212"/>
        <item x="314"/>
        <item x="292"/>
        <item x="174"/>
        <item x="100"/>
        <item x="32"/>
        <item x="154"/>
        <item x="339"/>
        <item x="44"/>
        <item x="449"/>
        <item x="184"/>
        <item x="206"/>
        <item x="305"/>
        <item x="440"/>
        <item x="380"/>
        <item x="411"/>
        <item x="43"/>
        <item x="359"/>
        <item x="71"/>
        <item x="10"/>
        <item x="194"/>
        <item x="86"/>
        <item x="196"/>
        <item x="34"/>
        <item x="428"/>
        <item x="35"/>
        <item x="230"/>
        <item x="129"/>
        <item x="47"/>
        <item x="389"/>
        <item x="552"/>
        <item x="162"/>
        <item x="242"/>
        <item x="512"/>
        <item x="353"/>
        <item x="202"/>
        <item x="436"/>
        <item x="362"/>
        <item x="93"/>
        <item x="364"/>
        <item x="31"/>
        <item x="146"/>
        <item x="357"/>
        <item x="524"/>
        <item x="158"/>
        <item x="502"/>
        <item x="148"/>
        <item x="319"/>
        <item x="163"/>
        <item x="529"/>
        <item x="548"/>
        <item x="418"/>
        <item x="39"/>
        <item x="409"/>
        <item x="213"/>
        <item x="300"/>
        <item x="417"/>
        <item x="45"/>
        <item x="477"/>
        <item x="273"/>
        <item x="448"/>
        <item x="311"/>
        <item x="105"/>
        <item x="493"/>
        <item x="265"/>
        <item x="390"/>
        <item x="61"/>
        <item x="89"/>
        <item x="166"/>
        <item x="555"/>
        <item x="397"/>
        <item x="211"/>
        <item x="182"/>
        <item x="381"/>
        <item x="358"/>
        <item x="406"/>
        <item x="282"/>
        <item x="456"/>
        <item x="79"/>
        <item x="443"/>
        <item x="544"/>
        <item x="343"/>
        <item x="63"/>
        <item x="501"/>
        <item x="475"/>
        <item x="239"/>
        <item x="484"/>
        <item x="69"/>
        <item x="467"/>
        <item x="226"/>
        <item x="138"/>
        <item x="142"/>
        <item x="122"/>
        <item x="64"/>
        <item x="474"/>
        <item x="542"/>
        <item x="119"/>
        <item x="279"/>
        <item x="424"/>
        <item x="385"/>
        <item x="543"/>
        <item x="12"/>
        <item x="361"/>
        <item x="102"/>
        <item x="504"/>
        <item x="260"/>
        <item x="482"/>
        <item x="175"/>
        <item x="525"/>
        <item x="200"/>
        <item x="150"/>
        <item x="49"/>
        <item x="56"/>
        <item x="399"/>
        <item x="301"/>
        <item x="331"/>
        <item x="60"/>
        <item x="193"/>
        <item x="547"/>
        <item x="111"/>
        <item x="128"/>
        <item x="420"/>
        <item x="144"/>
        <item x="208"/>
        <item x="97"/>
        <item x="257"/>
        <item x="476"/>
        <item x="452"/>
        <item x="298"/>
        <item x="509"/>
        <item x="183"/>
        <item x="53"/>
        <item x="429"/>
        <item x="492"/>
        <item x="438"/>
        <item x="497"/>
        <item x="540"/>
        <item x="139"/>
        <item x="322"/>
        <item x="231"/>
        <item x="506"/>
        <item x="107"/>
        <item x="135"/>
        <item x="75"/>
        <item x="20"/>
        <item x="297"/>
        <item x="77"/>
        <item x="295"/>
        <item x="223"/>
        <item x="205"/>
        <item x="11"/>
        <item x="355"/>
        <item x="113"/>
        <item x="379"/>
        <item x="136"/>
        <item x="91"/>
        <item x="330"/>
        <item x="368"/>
        <item x="59"/>
        <item x="201"/>
        <item x="486"/>
        <item x="519"/>
        <item x="237"/>
        <item x="137"/>
        <item x="401"/>
        <item x="503"/>
        <item x="458"/>
        <item x="192"/>
        <item x="170"/>
        <item x="106"/>
        <item x="450"/>
        <item x="254"/>
        <item x="472"/>
        <item x="52"/>
        <item x="332"/>
        <item x="376"/>
        <item x="478"/>
        <item x="266"/>
        <item x="341"/>
        <item x="523"/>
        <item x="216"/>
        <item x="6"/>
        <item x="50"/>
        <item x="157"/>
        <item x="191"/>
        <item x="82"/>
        <item x="0"/>
        <item x="116"/>
        <item x="14"/>
        <item x="74"/>
        <item x="243"/>
        <item x="215"/>
        <item x="7"/>
        <item x="412"/>
        <item x="366"/>
        <item x="234"/>
        <item x="537"/>
        <item x="54"/>
        <item x="249"/>
        <item x="335"/>
        <item x="187"/>
        <item x="203"/>
        <item x="156"/>
        <item x="124"/>
        <item x="545"/>
        <item x="526"/>
        <item x="392"/>
        <item x="165"/>
        <item x="405"/>
        <item x="400"/>
        <item x="470"/>
        <item x="345"/>
        <item x="427"/>
        <item x="161"/>
        <item x="164"/>
        <item x="171"/>
        <item x="302"/>
        <item x="24"/>
        <item x="481"/>
        <item x="371"/>
        <item x="515"/>
        <item x="232"/>
        <item x="433"/>
        <item x="217"/>
        <item x="336"/>
        <item x="315"/>
        <item x="103"/>
        <item x="72"/>
        <item x="143"/>
        <item x="340"/>
        <item x="432"/>
        <item x="42"/>
        <item x="57"/>
        <item x="430"/>
        <item x="495"/>
        <item x="78"/>
        <item x="123"/>
        <item x="159"/>
        <item x="310"/>
        <item x="284"/>
        <item x="328"/>
        <item x="333"/>
        <item x="133"/>
        <item x="271"/>
        <item x="307"/>
        <item x="40"/>
        <item x="236"/>
        <item x="375"/>
        <item x="140"/>
        <item x="447"/>
        <item x="222"/>
        <item x="538"/>
        <item x="8"/>
        <item x="13"/>
        <item x="81"/>
        <item x="480"/>
        <item x="363"/>
        <item x="344"/>
        <item x="29"/>
        <item x="275"/>
        <item x="73"/>
        <item x="224"/>
        <item x="287"/>
        <item x="422"/>
        <item x="286"/>
        <item x="167"/>
        <item x="67"/>
        <item x="329"/>
        <item x="169"/>
        <item x="384"/>
        <item x="435"/>
        <item x="378"/>
        <item x="407"/>
        <item x="296"/>
        <item x="348"/>
        <item x="221"/>
        <item x="445"/>
        <item x="263"/>
        <item x="131"/>
        <item x="267"/>
        <item x="471"/>
        <item x="393"/>
        <item x="259"/>
        <item x="16"/>
        <item x="15"/>
        <item x="58"/>
        <item x="118"/>
        <item x="294"/>
        <item x="457"/>
        <item x="151"/>
        <item x="530"/>
        <item x="437"/>
        <item x="534"/>
        <item x="229"/>
        <item x="172"/>
        <item x="466"/>
        <item x="186"/>
        <item x="550"/>
        <item x="520"/>
        <item x="535"/>
        <item x="218"/>
        <item x="28"/>
        <item x="517"/>
        <item x="117"/>
        <item x="522"/>
        <item x="394"/>
        <item x="312"/>
        <item x="109"/>
        <item x="188"/>
        <item x="173"/>
        <item x="48"/>
        <item x="1"/>
        <item x="280"/>
        <item x="334"/>
        <item x="360"/>
        <item x="207"/>
        <item x="464"/>
        <item x="527"/>
        <item x="510"/>
        <item x="365"/>
        <item x="539"/>
        <item x="264"/>
        <item x="546"/>
        <item x="27"/>
        <item x="114"/>
        <item x="425"/>
        <item x="318"/>
        <item x="516"/>
        <item x="491"/>
        <item x="356"/>
        <item x="241"/>
        <item x="528"/>
        <item x="33"/>
        <item x="347"/>
        <item x="350"/>
        <item x="92"/>
        <item x="387"/>
        <item x="95"/>
        <item x="338"/>
        <item x="23"/>
        <item x="147"/>
        <item x="68"/>
        <item x="83"/>
        <item x="238"/>
        <item x="180"/>
        <item x="132"/>
        <item x="227"/>
        <item x="410"/>
        <item x="308"/>
        <item x="5"/>
        <item x="500"/>
        <item x="431"/>
        <item x="373"/>
        <item x="453"/>
        <item x="532"/>
        <item x="321"/>
        <item x="110"/>
        <item x="96"/>
        <item x="299"/>
        <item x="391"/>
        <item x="21"/>
        <item x="104"/>
        <item x="9"/>
        <item x="441"/>
        <item x="250"/>
        <item x="70"/>
        <item x="62"/>
        <item x="152"/>
        <item x="304"/>
        <item x="108"/>
        <item x="514"/>
        <item x="248"/>
        <item x="454"/>
        <item x="383"/>
        <item x="178"/>
        <item x="66"/>
        <item x="274"/>
        <item x="541"/>
        <item x="460"/>
        <item x="404"/>
        <item x="247"/>
        <item x="290"/>
        <item x="507"/>
        <item x="101"/>
        <item x="289"/>
        <item x="388"/>
        <item x="269"/>
        <item x="220"/>
        <item x="354"/>
        <item x="408"/>
        <item x="549"/>
        <item x="382"/>
        <item x="473"/>
        <item x="270"/>
        <item x="521"/>
        <item x="325"/>
        <item x="210"/>
        <item x="352"/>
        <item x="126"/>
        <item x="386"/>
        <item x="459"/>
        <item x="219"/>
        <item x="468"/>
        <item x="498"/>
        <item x="442"/>
        <item x="553"/>
        <item x="419"/>
        <item x="414"/>
        <item x="149"/>
        <item x="303"/>
        <item x="197"/>
        <item x="251"/>
        <item x="268"/>
        <item x="228"/>
        <item x="4"/>
        <item x="252"/>
        <item x="65"/>
        <item x="127"/>
        <item x="51"/>
        <item x="463"/>
        <item x="426"/>
        <item x="214"/>
        <item x="351"/>
        <item x="225"/>
        <item x="465"/>
        <item x="153"/>
        <item x="395"/>
        <item x="513"/>
        <item x="76"/>
        <item x="511"/>
        <item x="261"/>
        <item x="177"/>
        <item x="276"/>
        <item x="2"/>
        <item x="198"/>
        <item x="277"/>
        <item x="349"/>
        <item x="112"/>
        <item x="130"/>
        <item x="499"/>
        <item x="461"/>
        <item x="377"/>
        <item x="487"/>
        <item x="317"/>
        <item x="370"/>
        <item x="508"/>
        <item x="85"/>
        <item x="434"/>
        <item x="320"/>
        <item x="26"/>
        <item x="37"/>
        <item x="176"/>
        <item x="483"/>
        <item x="168"/>
        <item x="84"/>
        <item x="256"/>
        <item x="462"/>
        <item x="413"/>
        <item x="489"/>
        <item x="209"/>
        <item x="18"/>
        <item x="536"/>
        <item x="278"/>
        <item x="485"/>
        <item x="369"/>
        <item x="554"/>
        <item x="19"/>
        <item x="134"/>
        <item x="240"/>
        <item x="179"/>
        <item x="313"/>
        <item x="505"/>
        <item x="346"/>
        <item x="416"/>
        <item x="262"/>
        <item x="324"/>
        <item x="98"/>
        <item x="90"/>
        <item x="309"/>
        <item x="272"/>
        <item x="421"/>
        <item x="533"/>
        <item x="233"/>
        <item x="518"/>
        <item x="496"/>
        <item x="398"/>
        <item x="255"/>
        <item x="490"/>
        <item x="55"/>
        <item x="288"/>
        <item x="244"/>
        <item x="38"/>
        <item x="235"/>
        <item x="199"/>
        <item x="444"/>
        <item x="195"/>
        <item x="372"/>
        <item x="36"/>
        <item x="99"/>
        <item x="87"/>
        <item x="551"/>
        <item x="415"/>
        <item x="3"/>
        <item x="403"/>
        <item x="306"/>
        <item x="245"/>
        <item x="145"/>
        <item x="446"/>
        <item x="488"/>
        <item x="17"/>
        <item x="41"/>
        <item x="141"/>
        <item x="531"/>
        <item x="367"/>
        <item x="258"/>
        <item x="22"/>
        <item x="451"/>
        <item x="80"/>
        <item x="88"/>
        <item x="291"/>
        <item x="30"/>
        <item x="494"/>
        <item x="293"/>
        <item x="160"/>
        <item x="326"/>
        <item x="455"/>
        <item x="283"/>
        <item t="default"/>
      </items>
    </pivotField>
    <pivotField showAll="0"/>
    <pivotField showAll="0"/>
    <pivotField showAll="0"/>
    <pivotField showAll="0">
      <items count="3">
        <item h="1"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12">
    <i>
      <x/>
    </i>
    <i>
      <x v="1"/>
    </i>
    <i>
      <x v="2"/>
    </i>
    <i>
      <x v="3"/>
    </i>
    <i>
      <x v="4"/>
    </i>
    <i>
      <x v="5"/>
    </i>
    <i>
      <x v="6"/>
    </i>
    <i>
      <x v="7"/>
    </i>
    <i>
      <x v="8"/>
    </i>
    <i>
      <x v="9"/>
    </i>
    <i>
      <x v="10"/>
    </i>
    <i t="grand">
      <x/>
    </i>
  </rowItems>
  <colItems count="1">
    <i/>
  </colItems>
  <dataFields count="1">
    <dataField name="Sum of Units Sold" fld="8" baseField="0" baseItem="0"/>
  </dataFields>
  <formats count="21">
    <format dxfId="3626">
      <pivotArea type="all" dataOnly="0" outline="0" fieldPosition="0"/>
    </format>
    <format dxfId="3625">
      <pivotArea outline="0" collapsedLevelsAreSubtotals="1" fieldPosition="0"/>
    </format>
    <format dxfId="3624">
      <pivotArea field="6" type="button" dataOnly="0" labelOnly="1" outline="0"/>
    </format>
    <format dxfId="3623">
      <pivotArea dataOnly="0" labelOnly="1" grandRow="1" outline="0" fieldPosition="0"/>
    </format>
    <format dxfId="3622">
      <pivotArea type="all" dataOnly="0" outline="0" fieldPosition="0"/>
    </format>
    <format dxfId="3621">
      <pivotArea outline="0" collapsedLevelsAreSubtotals="1" fieldPosition="0"/>
    </format>
    <format dxfId="3620">
      <pivotArea field="6" type="button" dataOnly="0" labelOnly="1" outline="0"/>
    </format>
    <format dxfId="3619">
      <pivotArea dataOnly="0" labelOnly="1" grandRow="1" outline="0" fieldPosition="0"/>
    </format>
    <format dxfId="3618">
      <pivotArea type="all" dataOnly="0" outline="0" fieldPosition="0"/>
    </format>
    <format dxfId="3617">
      <pivotArea outline="0" collapsedLevelsAreSubtotals="1" fieldPosition="0"/>
    </format>
    <format dxfId="3616">
      <pivotArea field="6" type="button" dataOnly="0" labelOnly="1" outline="0"/>
    </format>
    <format dxfId="3615">
      <pivotArea dataOnly="0" labelOnly="1" grandRow="1" outline="0" fieldPosition="0"/>
    </format>
    <format dxfId="3614">
      <pivotArea type="all" dataOnly="0" outline="0" fieldPosition="0"/>
    </format>
    <format dxfId="3613">
      <pivotArea outline="0" collapsedLevelsAreSubtotals="1" fieldPosition="0"/>
    </format>
    <format dxfId="3612">
      <pivotArea field="6" type="button" dataOnly="0" labelOnly="1" outline="0"/>
    </format>
    <format dxfId="3611">
      <pivotArea dataOnly="0" labelOnly="1" grandRow="1" outline="0" fieldPosition="0"/>
    </format>
    <format dxfId="3610">
      <pivotArea type="all" dataOnly="0" outline="0" fieldPosition="0"/>
    </format>
    <format dxfId="3609">
      <pivotArea field="7" type="button" dataOnly="0" labelOnly="1" outline="0"/>
    </format>
    <format dxfId="3608">
      <pivotArea dataOnly="0" labelOnly="1" grandRow="1" outline="0" fieldPosition="0"/>
    </format>
    <format dxfId="3607">
      <pivotArea dataOnly="0" labelOnly="1" outline="0" axis="axisValues" fieldPosition="0"/>
    </format>
    <format dxfId="3606">
      <pivotArea outline="0" collapsedLevelsAreSubtotals="1" fieldPosition="0"/>
    </format>
  </formats>
  <chartFormats count="1">
    <chartFormat chart="27"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F2E382-E09F-4235-BF4D-7B01A8B9BEF3}"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rowHeaderCaption="Product Category">
  <location ref="J4:Q12" firstHeaderRow="1" firstDataRow="2" firstDataCol="1"/>
  <pivotFields count="18">
    <pivotField numFmtId="164" showAll="0">
      <items count="181">
        <item x="124"/>
        <item x="115"/>
        <item x="113"/>
        <item x="172"/>
        <item x="31"/>
        <item x="36"/>
        <item x="91"/>
        <item x="49"/>
        <item x="131"/>
        <item x="26"/>
        <item x="21"/>
        <item x="151"/>
        <item x="136"/>
        <item x="168"/>
        <item x="57"/>
        <item x="125"/>
        <item x="99"/>
        <item x="83"/>
        <item x="15"/>
        <item x="72"/>
        <item x="140"/>
        <item x="155"/>
        <item x="116"/>
        <item x="154"/>
        <item x="71"/>
        <item x="2"/>
        <item x="61"/>
        <item x="22"/>
        <item x="170"/>
        <item x="32"/>
        <item x="177"/>
        <item x="39"/>
        <item x="46"/>
        <item x="80"/>
        <item x="64"/>
        <item x="123"/>
        <item x="138"/>
        <item x="48"/>
        <item x="128"/>
        <item x="60"/>
        <item x="89"/>
        <item x="75"/>
        <item x="157"/>
        <item x="145"/>
        <item x="179"/>
        <item x="175"/>
        <item x="93"/>
        <item x="162"/>
        <item x="78"/>
        <item x="68"/>
        <item x="69"/>
        <item x="55"/>
        <item x="11"/>
        <item x="135"/>
        <item x="101"/>
        <item x="8"/>
        <item x="107"/>
        <item x="74"/>
        <item x="156"/>
        <item x="59"/>
        <item x="165"/>
        <item x="52"/>
        <item x="27"/>
        <item x="167"/>
        <item x="35"/>
        <item x="119"/>
        <item x="87"/>
        <item x="66"/>
        <item x="150"/>
        <item x="50"/>
        <item x="130"/>
        <item x="79"/>
        <item x="160"/>
        <item x="153"/>
        <item x="42"/>
        <item x="47"/>
        <item x="176"/>
        <item x="73"/>
        <item x="90"/>
        <item x="0"/>
        <item x="120"/>
        <item x="92"/>
        <item x="178"/>
        <item x="13"/>
        <item x="164"/>
        <item x="70"/>
        <item x="118"/>
        <item x="51"/>
        <item x="171"/>
        <item x="97"/>
        <item x="76"/>
        <item x="122"/>
        <item x="133"/>
        <item x="112"/>
        <item x="3"/>
        <item x="102"/>
        <item x="104"/>
        <item x="174"/>
        <item x="117"/>
        <item x="30"/>
        <item x="159"/>
        <item x="141"/>
        <item x="67"/>
        <item x="108"/>
        <item x="19"/>
        <item x="95"/>
        <item x="103"/>
        <item x="9"/>
        <item x="127"/>
        <item x="163"/>
        <item x="106"/>
        <item x="17"/>
        <item x="65"/>
        <item x="109"/>
        <item x="166"/>
        <item x="44"/>
        <item x="58"/>
        <item x="134"/>
        <item x="37"/>
        <item x="146"/>
        <item x="43"/>
        <item x="149"/>
        <item x="5"/>
        <item x="18"/>
        <item x="1"/>
        <item x="63"/>
        <item x="143"/>
        <item x="12"/>
        <item x="7"/>
        <item x="40"/>
        <item x="96"/>
        <item x="132"/>
        <item x="129"/>
        <item x="82"/>
        <item x="158"/>
        <item x="88"/>
        <item x="84"/>
        <item x="169"/>
        <item x="137"/>
        <item x="38"/>
        <item x="14"/>
        <item x="126"/>
        <item x="105"/>
        <item x="62"/>
        <item x="23"/>
        <item x="28"/>
        <item x="6"/>
        <item x="20"/>
        <item x="85"/>
        <item x="34"/>
        <item x="4"/>
        <item x="147"/>
        <item x="10"/>
        <item x="98"/>
        <item x="111"/>
        <item x="33"/>
        <item x="56"/>
        <item x="152"/>
        <item x="139"/>
        <item x="110"/>
        <item x="161"/>
        <item x="114"/>
        <item x="81"/>
        <item x="24"/>
        <item x="144"/>
        <item x="45"/>
        <item x="54"/>
        <item x="41"/>
        <item x="53"/>
        <item x="29"/>
        <item x="94"/>
        <item x="173"/>
        <item x="100"/>
        <item x="148"/>
        <item x="121"/>
        <item x="142"/>
        <item x="25"/>
        <item x="16"/>
        <item x="77"/>
        <item x="86"/>
        <item t="default"/>
      </items>
    </pivotField>
    <pivotField showAll="0"/>
    <pivotField showAll="0"/>
    <pivotField showAll="0">
      <items count="5">
        <item x="1"/>
        <item x="3"/>
        <item x="2"/>
        <item x="0"/>
        <item t="default"/>
      </items>
    </pivotField>
    <pivotField showAll="0"/>
    <pivotField showAll="0"/>
    <pivotField showAll="0">
      <items count="4">
        <item x="1"/>
        <item x="0"/>
        <item x="2"/>
        <item t="default"/>
      </items>
    </pivotField>
    <pivotField axis="axisCol" showAll="0">
      <items count="7">
        <item x="4"/>
        <item x="5"/>
        <item x="1"/>
        <item x="2"/>
        <item x="0"/>
        <item x="3"/>
        <item t="default"/>
      </items>
    </pivotField>
    <pivotField dataField="1" showAll="0"/>
    <pivotField showAll="0"/>
    <pivotField showAll="0"/>
    <pivotField showAll="0">
      <items count="558">
        <item x="285"/>
        <item x="46"/>
        <item x="125"/>
        <item x="115"/>
        <item x="396"/>
        <item x="469"/>
        <item x="337"/>
        <item x="120"/>
        <item x="402"/>
        <item x="204"/>
        <item x="246"/>
        <item x="121"/>
        <item x="342"/>
        <item x="327"/>
        <item x="94"/>
        <item x="185"/>
        <item x="323"/>
        <item x="479"/>
        <item x="25"/>
        <item x="281"/>
        <item x="556"/>
        <item x="190"/>
        <item x="423"/>
        <item x="181"/>
        <item x="253"/>
        <item x="189"/>
        <item x="155"/>
        <item x="316"/>
        <item x="439"/>
        <item x="374"/>
        <item x="212"/>
        <item x="314"/>
        <item x="292"/>
        <item x="174"/>
        <item x="100"/>
        <item x="32"/>
        <item x="154"/>
        <item x="339"/>
        <item x="44"/>
        <item x="449"/>
        <item x="184"/>
        <item x="206"/>
        <item x="305"/>
        <item x="440"/>
        <item x="380"/>
        <item x="411"/>
        <item x="43"/>
        <item x="359"/>
        <item x="71"/>
        <item x="10"/>
        <item x="194"/>
        <item x="86"/>
        <item x="196"/>
        <item x="34"/>
        <item x="428"/>
        <item x="35"/>
        <item x="230"/>
        <item x="129"/>
        <item x="47"/>
        <item x="389"/>
        <item x="552"/>
        <item x="162"/>
        <item x="242"/>
        <item x="512"/>
        <item x="353"/>
        <item x="202"/>
        <item x="436"/>
        <item x="362"/>
        <item x="93"/>
        <item x="364"/>
        <item x="31"/>
        <item x="146"/>
        <item x="357"/>
        <item x="524"/>
        <item x="158"/>
        <item x="502"/>
        <item x="148"/>
        <item x="319"/>
        <item x="163"/>
        <item x="529"/>
        <item x="548"/>
        <item x="418"/>
        <item x="39"/>
        <item x="409"/>
        <item x="213"/>
        <item x="300"/>
        <item x="417"/>
        <item x="45"/>
        <item x="477"/>
        <item x="273"/>
        <item x="448"/>
        <item x="311"/>
        <item x="105"/>
        <item x="493"/>
        <item x="265"/>
        <item x="390"/>
        <item x="61"/>
        <item x="89"/>
        <item x="166"/>
        <item x="555"/>
        <item x="397"/>
        <item x="211"/>
        <item x="182"/>
        <item x="381"/>
        <item x="358"/>
        <item x="406"/>
        <item x="282"/>
        <item x="456"/>
        <item x="79"/>
        <item x="443"/>
        <item x="544"/>
        <item x="343"/>
        <item x="63"/>
        <item x="501"/>
        <item x="475"/>
        <item x="239"/>
        <item x="484"/>
        <item x="69"/>
        <item x="467"/>
        <item x="226"/>
        <item x="138"/>
        <item x="142"/>
        <item x="122"/>
        <item x="64"/>
        <item x="474"/>
        <item x="542"/>
        <item x="119"/>
        <item x="279"/>
        <item x="424"/>
        <item x="385"/>
        <item x="543"/>
        <item x="12"/>
        <item x="361"/>
        <item x="102"/>
        <item x="504"/>
        <item x="260"/>
        <item x="482"/>
        <item x="175"/>
        <item x="525"/>
        <item x="200"/>
        <item x="150"/>
        <item x="49"/>
        <item x="56"/>
        <item x="399"/>
        <item x="301"/>
        <item x="331"/>
        <item x="60"/>
        <item x="193"/>
        <item x="547"/>
        <item x="111"/>
        <item x="128"/>
        <item x="420"/>
        <item x="144"/>
        <item x="208"/>
        <item x="97"/>
        <item x="257"/>
        <item x="476"/>
        <item x="452"/>
        <item x="298"/>
        <item x="509"/>
        <item x="183"/>
        <item x="53"/>
        <item x="429"/>
        <item x="492"/>
        <item x="438"/>
        <item x="497"/>
        <item x="540"/>
        <item x="139"/>
        <item x="322"/>
        <item x="231"/>
        <item x="506"/>
        <item x="107"/>
        <item x="135"/>
        <item x="75"/>
        <item x="20"/>
        <item x="297"/>
        <item x="77"/>
        <item x="295"/>
        <item x="223"/>
        <item x="205"/>
        <item x="11"/>
        <item x="355"/>
        <item x="113"/>
        <item x="379"/>
        <item x="136"/>
        <item x="91"/>
        <item x="330"/>
        <item x="368"/>
        <item x="59"/>
        <item x="201"/>
        <item x="486"/>
        <item x="519"/>
        <item x="237"/>
        <item x="137"/>
        <item x="401"/>
        <item x="503"/>
        <item x="458"/>
        <item x="192"/>
        <item x="170"/>
        <item x="106"/>
        <item x="450"/>
        <item x="254"/>
        <item x="472"/>
        <item x="52"/>
        <item x="332"/>
        <item x="376"/>
        <item x="478"/>
        <item x="266"/>
        <item x="341"/>
        <item x="523"/>
        <item x="216"/>
        <item x="6"/>
        <item x="50"/>
        <item x="157"/>
        <item x="191"/>
        <item x="82"/>
        <item x="0"/>
        <item x="116"/>
        <item x="14"/>
        <item x="74"/>
        <item x="243"/>
        <item x="215"/>
        <item x="7"/>
        <item x="412"/>
        <item x="366"/>
        <item x="234"/>
        <item x="537"/>
        <item x="54"/>
        <item x="249"/>
        <item x="335"/>
        <item x="187"/>
        <item x="203"/>
        <item x="156"/>
        <item x="124"/>
        <item x="545"/>
        <item x="526"/>
        <item x="392"/>
        <item x="165"/>
        <item x="405"/>
        <item x="400"/>
        <item x="470"/>
        <item x="345"/>
        <item x="427"/>
        <item x="161"/>
        <item x="164"/>
        <item x="171"/>
        <item x="302"/>
        <item x="24"/>
        <item x="481"/>
        <item x="371"/>
        <item x="515"/>
        <item x="232"/>
        <item x="433"/>
        <item x="217"/>
        <item x="336"/>
        <item x="315"/>
        <item x="103"/>
        <item x="72"/>
        <item x="143"/>
        <item x="340"/>
        <item x="432"/>
        <item x="42"/>
        <item x="57"/>
        <item x="430"/>
        <item x="495"/>
        <item x="78"/>
        <item x="123"/>
        <item x="159"/>
        <item x="310"/>
        <item x="284"/>
        <item x="328"/>
        <item x="333"/>
        <item x="133"/>
        <item x="271"/>
        <item x="307"/>
        <item x="40"/>
        <item x="236"/>
        <item x="375"/>
        <item x="140"/>
        <item x="447"/>
        <item x="222"/>
        <item x="538"/>
        <item x="8"/>
        <item x="13"/>
        <item x="81"/>
        <item x="480"/>
        <item x="363"/>
        <item x="344"/>
        <item x="29"/>
        <item x="275"/>
        <item x="73"/>
        <item x="224"/>
        <item x="287"/>
        <item x="422"/>
        <item x="286"/>
        <item x="167"/>
        <item x="67"/>
        <item x="329"/>
        <item x="169"/>
        <item x="384"/>
        <item x="435"/>
        <item x="378"/>
        <item x="407"/>
        <item x="296"/>
        <item x="348"/>
        <item x="221"/>
        <item x="445"/>
        <item x="263"/>
        <item x="131"/>
        <item x="267"/>
        <item x="471"/>
        <item x="393"/>
        <item x="259"/>
        <item x="16"/>
        <item x="15"/>
        <item x="58"/>
        <item x="118"/>
        <item x="294"/>
        <item x="457"/>
        <item x="151"/>
        <item x="530"/>
        <item x="437"/>
        <item x="534"/>
        <item x="229"/>
        <item x="172"/>
        <item x="466"/>
        <item x="186"/>
        <item x="550"/>
        <item x="520"/>
        <item x="535"/>
        <item x="218"/>
        <item x="28"/>
        <item x="517"/>
        <item x="117"/>
        <item x="522"/>
        <item x="394"/>
        <item x="312"/>
        <item x="109"/>
        <item x="188"/>
        <item x="173"/>
        <item x="48"/>
        <item x="1"/>
        <item x="280"/>
        <item x="334"/>
        <item x="360"/>
        <item x="207"/>
        <item x="464"/>
        <item x="527"/>
        <item x="510"/>
        <item x="365"/>
        <item x="539"/>
        <item x="264"/>
        <item x="546"/>
        <item x="27"/>
        <item x="114"/>
        <item x="425"/>
        <item x="318"/>
        <item x="516"/>
        <item x="491"/>
        <item x="356"/>
        <item x="241"/>
        <item x="528"/>
        <item x="33"/>
        <item x="347"/>
        <item x="350"/>
        <item x="92"/>
        <item x="387"/>
        <item x="95"/>
        <item x="338"/>
        <item x="23"/>
        <item x="147"/>
        <item x="68"/>
        <item x="83"/>
        <item x="238"/>
        <item x="180"/>
        <item x="132"/>
        <item x="227"/>
        <item x="410"/>
        <item x="308"/>
        <item x="5"/>
        <item x="500"/>
        <item x="431"/>
        <item x="373"/>
        <item x="453"/>
        <item x="532"/>
        <item x="321"/>
        <item x="110"/>
        <item x="96"/>
        <item x="299"/>
        <item x="391"/>
        <item x="21"/>
        <item x="104"/>
        <item x="9"/>
        <item x="441"/>
        <item x="250"/>
        <item x="70"/>
        <item x="62"/>
        <item x="152"/>
        <item x="304"/>
        <item x="108"/>
        <item x="514"/>
        <item x="248"/>
        <item x="454"/>
        <item x="383"/>
        <item x="178"/>
        <item x="66"/>
        <item x="274"/>
        <item x="541"/>
        <item x="460"/>
        <item x="404"/>
        <item x="247"/>
        <item x="290"/>
        <item x="507"/>
        <item x="101"/>
        <item x="289"/>
        <item x="388"/>
        <item x="269"/>
        <item x="220"/>
        <item x="354"/>
        <item x="408"/>
        <item x="549"/>
        <item x="382"/>
        <item x="473"/>
        <item x="270"/>
        <item x="521"/>
        <item x="325"/>
        <item x="210"/>
        <item x="352"/>
        <item x="126"/>
        <item x="386"/>
        <item x="459"/>
        <item x="219"/>
        <item x="468"/>
        <item x="498"/>
        <item x="442"/>
        <item x="553"/>
        <item x="419"/>
        <item x="414"/>
        <item x="149"/>
        <item x="303"/>
        <item x="197"/>
        <item x="251"/>
        <item x="268"/>
        <item x="228"/>
        <item x="4"/>
        <item x="252"/>
        <item x="65"/>
        <item x="127"/>
        <item x="51"/>
        <item x="463"/>
        <item x="426"/>
        <item x="214"/>
        <item x="351"/>
        <item x="225"/>
        <item x="465"/>
        <item x="153"/>
        <item x="395"/>
        <item x="513"/>
        <item x="76"/>
        <item x="511"/>
        <item x="261"/>
        <item x="177"/>
        <item x="276"/>
        <item x="2"/>
        <item x="198"/>
        <item x="277"/>
        <item x="349"/>
        <item x="112"/>
        <item x="130"/>
        <item x="499"/>
        <item x="461"/>
        <item x="377"/>
        <item x="487"/>
        <item x="317"/>
        <item x="370"/>
        <item x="508"/>
        <item x="85"/>
        <item x="434"/>
        <item x="320"/>
        <item x="26"/>
        <item x="37"/>
        <item x="176"/>
        <item x="483"/>
        <item x="168"/>
        <item x="84"/>
        <item x="256"/>
        <item x="462"/>
        <item x="413"/>
        <item x="489"/>
        <item x="209"/>
        <item x="18"/>
        <item x="536"/>
        <item x="278"/>
        <item x="485"/>
        <item x="369"/>
        <item x="554"/>
        <item x="19"/>
        <item x="134"/>
        <item x="240"/>
        <item x="179"/>
        <item x="313"/>
        <item x="505"/>
        <item x="346"/>
        <item x="416"/>
        <item x="262"/>
        <item x="324"/>
        <item x="98"/>
        <item x="90"/>
        <item x="309"/>
        <item x="272"/>
        <item x="421"/>
        <item x="533"/>
        <item x="233"/>
        <item x="518"/>
        <item x="496"/>
        <item x="398"/>
        <item x="255"/>
        <item x="490"/>
        <item x="55"/>
        <item x="288"/>
        <item x="244"/>
        <item x="38"/>
        <item x="235"/>
        <item x="199"/>
        <item x="444"/>
        <item x="195"/>
        <item x="372"/>
        <item x="36"/>
        <item x="99"/>
        <item x="87"/>
        <item x="551"/>
        <item x="415"/>
        <item x="3"/>
        <item x="403"/>
        <item x="306"/>
        <item x="245"/>
        <item x="145"/>
        <item x="446"/>
        <item x="488"/>
        <item x="17"/>
        <item x="41"/>
        <item x="141"/>
        <item x="531"/>
        <item x="367"/>
        <item x="258"/>
        <item x="22"/>
        <item x="451"/>
        <item x="80"/>
        <item x="88"/>
        <item x="291"/>
        <item x="30"/>
        <item x="494"/>
        <item x="293"/>
        <item x="160"/>
        <item x="326"/>
        <item x="455"/>
        <item x="283"/>
        <item t="default"/>
      </items>
    </pivotField>
    <pivotField showAll="0"/>
    <pivotField showAll="0"/>
    <pivotField showAll="0"/>
    <pivotField showAll="0">
      <items count="3">
        <item h="1"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7">
    <i>
      <x v="1"/>
    </i>
    <i>
      <x v="2"/>
    </i>
    <i>
      <x v="3"/>
    </i>
    <i>
      <x v="4"/>
    </i>
    <i>
      <x v="5"/>
    </i>
    <i>
      <x v="6"/>
    </i>
    <i t="grand">
      <x/>
    </i>
  </rowItems>
  <colFields count="1">
    <field x="7"/>
  </colFields>
  <colItems count="7">
    <i>
      <x/>
    </i>
    <i>
      <x v="1"/>
    </i>
    <i>
      <x v="2"/>
    </i>
    <i>
      <x v="3"/>
    </i>
    <i>
      <x v="4"/>
    </i>
    <i>
      <x v="5"/>
    </i>
    <i t="grand">
      <x/>
    </i>
  </colItems>
  <dataFields count="1">
    <dataField name="Sum of Units Sold" fld="8" baseField="0" baseItem="0"/>
  </dataFields>
  <formats count="22">
    <format dxfId="3648">
      <pivotArea type="all" dataOnly="0" outline="0" fieldPosition="0"/>
    </format>
    <format dxfId="3647">
      <pivotArea outline="0" collapsedLevelsAreSubtotals="1" fieldPosition="0"/>
    </format>
    <format dxfId="3646">
      <pivotArea field="6" type="button" dataOnly="0" labelOnly="1" outline="0"/>
    </format>
    <format dxfId="3645">
      <pivotArea dataOnly="0" labelOnly="1" grandRow="1" outline="0" fieldPosition="0"/>
    </format>
    <format dxfId="3644">
      <pivotArea type="all" dataOnly="0" outline="0" fieldPosition="0"/>
    </format>
    <format dxfId="3643">
      <pivotArea outline="0" collapsedLevelsAreSubtotals="1" fieldPosition="0"/>
    </format>
    <format dxfId="3642">
      <pivotArea field="6" type="button" dataOnly="0" labelOnly="1" outline="0"/>
    </format>
    <format dxfId="3641">
      <pivotArea dataOnly="0" labelOnly="1" grandRow="1" outline="0" fieldPosition="0"/>
    </format>
    <format dxfId="3640">
      <pivotArea type="all" dataOnly="0" outline="0" fieldPosition="0"/>
    </format>
    <format dxfId="3639">
      <pivotArea outline="0" collapsedLevelsAreSubtotals="1" fieldPosition="0"/>
    </format>
    <format dxfId="3638">
      <pivotArea field="6" type="button" dataOnly="0" labelOnly="1" outline="0"/>
    </format>
    <format dxfId="3637">
      <pivotArea dataOnly="0" labelOnly="1" grandRow="1" outline="0" fieldPosition="0"/>
    </format>
    <format dxfId="3636">
      <pivotArea type="all" dataOnly="0" outline="0" fieldPosition="0"/>
    </format>
    <format dxfId="3635">
      <pivotArea outline="0" collapsedLevelsAreSubtotals="1" fieldPosition="0"/>
    </format>
    <format dxfId="3634">
      <pivotArea field="6" type="button" dataOnly="0" labelOnly="1" outline="0"/>
    </format>
    <format dxfId="3633">
      <pivotArea dataOnly="0" labelOnly="1" grandRow="1" outline="0" fieldPosition="0"/>
    </format>
    <format dxfId="3632">
      <pivotArea type="all" dataOnly="0" outline="0" fieldPosition="0"/>
    </format>
    <format dxfId="3631">
      <pivotArea field="7" type="button" dataOnly="0" labelOnly="1" outline="0" axis="axisCol" fieldPosition="0"/>
    </format>
    <format dxfId="3630">
      <pivotArea dataOnly="0" labelOnly="1" fieldPosition="0">
        <references count="1">
          <reference field="7" count="0"/>
        </references>
      </pivotArea>
    </format>
    <format dxfId="3629">
      <pivotArea dataOnly="0" labelOnly="1" grandRow="1" outline="0" fieldPosition="0"/>
    </format>
    <format dxfId="3628">
      <pivotArea dataOnly="0" labelOnly="1" outline="0" axis="axisValues" fieldPosition="0"/>
    </format>
    <format dxfId="3627">
      <pivotArea outline="0" collapsedLevelsAreSubtotals="1" fieldPosition="0"/>
    </format>
  </formats>
  <chartFormats count="6">
    <chartFormat chart="17" format="12" series="1">
      <pivotArea type="data" outline="0" fieldPosition="0">
        <references count="2">
          <reference field="4294967294" count="1" selected="0">
            <x v="0"/>
          </reference>
          <reference field="7" count="1" selected="0">
            <x v="0"/>
          </reference>
        </references>
      </pivotArea>
    </chartFormat>
    <chartFormat chart="17" format="13" series="1">
      <pivotArea type="data" outline="0" fieldPosition="0">
        <references count="2">
          <reference field="4294967294" count="1" selected="0">
            <x v="0"/>
          </reference>
          <reference field="7" count="1" selected="0">
            <x v="1"/>
          </reference>
        </references>
      </pivotArea>
    </chartFormat>
    <chartFormat chart="17" format="14" series="1">
      <pivotArea type="data" outline="0" fieldPosition="0">
        <references count="2">
          <reference field="4294967294" count="1" selected="0">
            <x v="0"/>
          </reference>
          <reference field="7" count="1" selected="0">
            <x v="2"/>
          </reference>
        </references>
      </pivotArea>
    </chartFormat>
    <chartFormat chart="17" format="15" series="1">
      <pivotArea type="data" outline="0" fieldPosition="0">
        <references count="2">
          <reference field="4294967294" count="1" selected="0">
            <x v="0"/>
          </reference>
          <reference field="7" count="1" selected="0">
            <x v="3"/>
          </reference>
        </references>
      </pivotArea>
    </chartFormat>
    <chartFormat chart="17" format="16" series="1">
      <pivotArea type="data" outline="0" fieldPosition="0">
        <references count="2">
          <reference field="4294967294" count="1" selected="0">
            <x v="0"/>
          </reference>
          <reference field="7" count="1" selected="0">
            <x v="4"/>
          </reference>
        </references>
      </pivotArea>
    </chartFormat>
    <chartFormat chart="17" format="17" series="1">
      <pivotArea type="data" outline="0" fieldPosition="0">
        <references count="2">
          <reference field="4294967294" count="1" selected="0">
            <x v="0"/>
          </reference>
          <reference field="7" count="1" selected="0">
            <x v="5"/>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D5B45D-B39F-4DFC-A527-712A988AA795}"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4" rowHeaderCaption="Region">
  <location ref="E4:G9" firstHeaderRow="0" firstDataRow="1" firstDataCol="1"/>
  <pivotFields count="18">
    <pivotField numFmtId="164" showAll="0">
      <items count="181">
        <item x="124"/>
        <item x="115"/>
        <item x="113"/>
        <item x="172"/>
        <item x="31"/>
        <item x="36"/>
        <item x="91"/>
        <item x="49"/>
        <item x="131"/>
        <item x="26"/>
        <item x="21"/>
        <item x="151"/>
        <item x="136"/>
        <item x="168"/>
        <item x="57"/>
        <item x="125"/>
        <item x="99"/>
        <item x="83"/>
        <item x="15"/>
        <item x="72"/>
        <item x="140"/>
        <item x="155"/>
        <item x="116"/>
        <item x="154"/>
        <item x="71"/>
        <item x="2"/>
        <item x="61"/>
        <item x="22"/>
        <item x="170"/>
        <item x="32"/>
        <item x="177"/>
        <item x="39"/>
        <item x="46"/>
        <item x="80"/>
        <item x="64"/>
        <item x="123"/>
        <item x="138"/>
        <item x="48"/>
        <item x="128"/>
        <item x="60"/>
        <item x="89"/>
        <item x="75"/>
        <item x="157"/>
        <item x="145"/>
        <item x="179"/>
        <item x="175"/>
        <item x="93"/>
        <item x="162"/>
        <item x="78"/>
        <item x="68"/>
        <item x="69"/>
        <item x="55"/>
        <item x="11"/>
        <item x="135"/>
        <item x="101"/>
        <item x="8"/>
        <item x="107"/>
        <item x="74"/>
        <item x="156"/>
        <item x="59"/>
        <item x="165"/>
        <item x="52"/>
        <item x="27"/>
        <item x="167"/>
        <item x="35"/>
        <item x="119"/>
        <item x="87"/>
        <item x="66"/>
        <item x="150"/>
        <item x="50"/>
        <item x="130"/>
        <item x="79"/>
        <item x="160"/>
        <item x="153"/>
        <item x="42"/>
        <item x="47"/>
        <item x="176"/>
        <item x="73"/>
        <item x="90"/>
        <item x="0"/>
        <item x="120"/>
        <item x="92"/>
        <item x="178"/>
        <item x="13"/>
        <item x="164"/>
        <item x="70"/>
        <item x="118"/>
        <item x="51"/>
        <item x="171"/>
        <item x="97"/>
        <item x="76"/>
        <item x="122"/>
        <item x="133"/>
        <item x="112"/>
        <item x="3"/>
        <item x="102"/>
        <item x="104"/>
        <item x="174"/>
        <item x="117"/>
        <item x="30"/>
        <item x="159"/>
        <item x="141"/>
        <item x="67"/>
        <item x="108"/>
        <item x="19"/>
        <item x="95"/>
        <item x="103"/>
        <item x="9"/>
        <item x="127"/>
        <item x="163"/>
        <item x="106"/>
        <item x="17"/>
        <item x="65"/>
        <item x="109"/>
        <item x="166"/>
        <item x="44"/>
        <item x="58"/>
        <item x="134"/>
        <item x="37"/>
        <item x="146"/>
        <item x="43"/>
        <item x="149"/>
        <item x="5"/>
        <item x="18"/>
        <item x="1"/>
        <item x="63"/>
        <item x="143"/>
        <item x="12"/>
        <item x="7"/>
        <item x="40"/>
        <item x="96"/>
        <item x="132"/>
        <item x="129"/>
        <item x="82"/>
        <item x="158"/>
        <item x="88"/>
        <item x="84"/>
        <item x="169"/>
        <item x="137"/>
        <item x="38"/>
        <item x="14"/>
        <item x="126"/>
        <item x="105"/>
        <item x="62"/>
        <item x="23"/>
        <item x="28"/>
        <item x="6"/>
        <item x="20"/>
        <item x="85"/>
        <item x="34"/>
        <item x="4"/>
        <item x="147"/>
        <item x="10"/>
        <item x="98"/>
        <item x="111"/>
        <item x="33"/>
        <item x="56"/>
        <item x="152"/>
        <item x="139"/>
        <item x="110"/>
        <item x="161"/>
        <item x="114"/>
        <item x="81"/>
        <item x="24"/>
        <item x="144"/>
        <item x="45"/>
        <item x="54"/>
        <item x="41"/>
        <item x="53"/>
        <item x="29"/>
        <item x="94"/>
        <item x="173"/>
        <item x="100"/>
        <item x="148"/>
        <item x="121"/>
        <item x="142"/>
        <item x="25"/>
        <item x="16"/>
        <item x="77"/>
        <item x="86"/>
        <item t="default"/>
      </items>
    </pivotField>
    <pivotField showAll="0"/>
    <pivotField showAll="0"/>
    <pivotField axis="axisRow" showAll="0">
      <items count="5">
        <item x="1"/>
        <item x="3"/>
        <item x="2"/>
        <item x="0"/>
        <item t="default"/>
      </items>
    </pivotField>
    <pivotField showAll="0"/>
    <pivotField showAll="0"/>
    <pivotField showAll="0">
      <items count="4">
        <item x="1"/>
        <item x="0"/>
        <item x="2"/>
        <item t="default"/>
      </items>
    </pivotField>
    <pivotField showAll="0">
      <items count="7">
        <item x="4"/>
        <item x="5"/>
        <item x="1"/>
        <item x="2"/>
        <item x="0"/>
        <item x="3"/>
        <item t="default"/>
      </items>
    </pivotField>
    <pivotField showAll="0"/>
    <pivotField showAll="0"/>
    <pivotField showAll="0"/>
    <pivotField showAll="0">
      <items count="558">
        <item x="285"/>
        <item x="46"/>
        <item x="125"/>
        <item x="115"/>
        <item x="396"/>
        <item x="469"/>
        <item x="337"/>
        <item x="120"/>
        <item x="402"/>
        <item x="204"/>
        <item x="246"/>
        <item x="121"/>
        <item x="342"/>
        <item x="327"/>
        <item x="94"/>
        <item x="185"/>
        <item x="323"/>
        <item x="479"/>
        <item x="25"/>
        <item x="281"/>
        <item x="556"/>
        <item x="190"/>
        <item x="423"/>
        <item x="181"/>
        <item x="253"/>
        <item x="189"/>
        <item x="155"/>
        <item x="316"/>
        <item x="439"/>
        <item x="374"/>
        <item x="212"/>
        <item x="314"/>
        <item x="292"/>
        <item x="174"/>
        <item x="100"/>
        <item x="32"/>
        <item x="154"/>
        <item x="339"/>
        <item x="44"/>
        <item x="449"/>
        <item x="184"/>
        <item x="206"/>
        <item x="305"/>
        <item x="440"/>
        <item x="380"/>
        <item x="411"/>
        <item x="43"/>
        <item x="359"/>
        <item x="71"/>
        <item x="10"/>
        <item x="194"/>
        <item x="86"/>
        <item x="196"/>
        <item x="34"/>
        <item x="428"/>
        <item x="35"/>
        <item x="230"/>
        <item x="129"/>
        <item x="47"/>
        <item x="389"/>
        <item x="552"/>
        <item x="162"/>
        <item x="242"/>
        <item x="512"/>
        <item x="353"/>
        <item x="202"/>
        <item x="436"/>
        <item x="362"/>
        <item x="93"/>
        <item x="364"/>
        <item x="31"/>
        <item x="146"/>
        <item x="357"/>
        <item x="524"/>
        <item x="158"/>
        <item x="502"/>
        <item x="148"/>
        <item x="319"/>
        <item x="163"/>
        <item x="529"/>
        <item x="548"/>
        <item x="418"/>
        <item x="39"/>
        <item x="409"/>
        <item x="213"/>
        <item x="300"/>
        <item x="417"/>
        <item x="45"/>
        <item x="477"/>
        <item x="273"/>
        <item x="448"/>
        <item x="311"/>
        <item x="105"/>
        <item x="493"/>
        <item x="265"/>
        <item x="390"/>
        <item x="61"/>
        <item x="89"/>
        <item x="166"/>
        <item x="555"/>
        <item x="397"/>
        <item x="211"/>
        <item x="182"/>
        <item x="381"/>
        <item x="358"/>
        <item x="406"/>
        <item x="282"/>
        <item x="456"/>
        <item x="79"/>
        <item x="443"/>
        <item x="544"/>
        <item x="343"/>
        <item x="63"/>
        <item x="501"/>
        <item x="475"/>
        <item x="239"/>
        <item x="484"/>
        <item x="69"/>
        <item x="467"/>
        <item x="226"/>
        <item x="138"/>
        <item x="142"/>
        <item x="122"/>
        <item x="64"/>
        <item x="474"/>
        <item x="542"/>
        <item x="119"/>
        <item x="279"/>
        <item x="424"/>
        <item x="385"/>
        <item x="543"/>
        <item x="12"/>
        <item x="361"/>
        <item x="102"/>
        <item x="504"/>
        <item x="260"/>
        <item x="482"/>
        <item x="175"/>
        <item x="525"/>
        <item x="200"/>
        <item x="150"/>
        <item x="49"/>
        <item x="56"/>
        <item x="399"/>
        <item x="301"/>
        <item x="331"/>
        <item x="60"/>
        <item x="193"/>
        <item x="547"/>
        <item x="111"/>
        <item x="128"/>
        <item x="420"/>
        <item x="144"/>
        <item x="208"/>
        <item x="97"/>
        <item x="257"/>
        <item x="476"/>
        <item x="452"/>
        <item x="298"/>
        <item x="509"/>
        <item x="183"/>
        <item x="53"/>
        <item x="429"/>
        <item x="492"/>
        <item x="438"/>
        <item x="497"/>
        <item x="540"/>
        <item x="139"/>
        <item x="322"/>
        <item x="231"/>
        <item x="506"/>
        <item x="107"/>
        <item x="135"/>
        <item x="75"/>
        <item x="20"/>
        <item x="297"/>
        <item x="77"/>
        <item x="295"/>
        <item x="223"/>
        <item x="205"/>
        <item x="11"/>
        <item x="355"/>
        <item x="113"/>
        <item x="379"/>
        <item x="136"/>
        <item x="91"/>
        <item x="330"/>
        <item x="368"/>
        <item x="59"/>
        <item x="201"/>
        <item x="486"/>
        <item x="519"/>
        <item x="237"/>
        <item x="137"/>
        <item x="401"/>
        <item x="503"/>
        <item x="458"/>
        <item x="192"/>
        <item x="170"/>
        <item x="106"/>
        <item x="450"/>
        <item x="254"/>
        <item x="472"/>
        <item x="52"/>
        <item x="332"/>
        <item x="376"/>
        <item x="478"/>
        <item x="266"/>
        <item x="341"/>
        <item x="523"/>
        <item x="216"/>
        <item x="6"/>
        <item x="50"/>
        <item x="157"/>
        <item x="191"/>
        <item x="82"/>
        <item x="0"/>
        <item x="116"/>
        <item x="14"/>
        <item x="74"/>
        <item x="243"/>
        <item x="215"/>
        <item x="7"/>
        <item x="412"/>
        <item x="366"/>
        <item x="234"/>
        <item x="537"/>
        <item x="54"/>
        <item x="249"/>
        <item x="335"/>
        <item x="187"/>
        <item x="203"/>
        <item x="156"/>
        <item x="124"/>
        <item x="545"/>
        <item x="526"/>
        <item x="392"/>
        <item x="165"/>
        <item x="405"/>
        <item x="400"/>
        <item x="470"/>
        <item x="345"/>
        <item x="427"/>
        <item x="161"/>
        <item x="164"/>
        <item x="171"/>
        <item x="302"/>
        <item x="24"/>
        <item x="481"/>
        <item x="371"/>
        <item x="515"/>
        <item x="232"/>
        <item x="433"/>
        <item x="217"/>
        <item x="336"/>
        <item x="315"/>
        <item x="103"/>
        <item x="72"/>
        <item x="143"/>
        <item x="340"/>
        <item x="432"/>
        <item x="42"/>
        <item x="57"/>
        <item x="430"/>
        <item x="495"/>
        <item x="78"/>
        <item x="123"/>
        <item x="159"/>
        <item x="310"/>
        <item x="284"/>
        <item x="328"/>
        <item x="333"/>
        <item x="133"/>
        <item x="271"/>
        <item x="307"/>
        <item x="40"/>
        <item x="236"/>
        <item x="375"/>
        <item x="140"/>
        <item x="447"/>
        <item x="222"/>
        <item x="538"/>
        <item x="8"/>
        <item x="13"/>
        <item x="81"/>
        <item x="480"/>
        <item x="363"/>
        <item x="344"/>
        <item x="29"/>
        <item x="275"/>
        <item x="73"/>
        <item x="224"/>
        <item x="287"/>
        <item x="422"/>
        <item x="286"/>
        <item x="167"/>
        <item x="67"/>
        <item x="329"/>
        <item x="169"/>
        <item x="384"/>
        <item x="435"/>
        <item x="378"/>
        <item x="407"/>
        <item x="296"/>
        <item x="348"/>
        <item x="221"/>
        <item x="445"/>
        <item x="263"/>
        <item x="131"/>
        <item x="267"/>
        <item x="471"/>
        <item x="393"/>
        <item x="259"/>
        <item x="16"/>
        <item x="15"/>
        <item x="58"/>
        <item x="118"/>
        <item x="294"/>
        <item x="457"/>
        <item x="151"/>
        <item x="530"/>
        <item x="437"/>
        <item x="534"/>
        <item x="229"/>
        <item x="172"/>
        <item x="466"/>
        <item x="186"/>
        <item x="550"/>
        <item x="520"/>
        <item x="535"/>
        <item x="218"/>
        <item x="28"/>
        <item x="517"/>
        <item x="117"/>
        <item x="522"/>
        <item x="394"/>
        <item x="312"/>
        <item x="109"/>
        <item x="188"/>
        <item x="173"/>
        <item x="48"/>
        <item x="1"/>
        <item x="280"/>
        <item x="334"/>
        <item x="360"/>
        <item x="207"/>
        <item x="464"/>
        <item x="527"/>
        <item x="510"/>
        <item x="365"/>
        <item x="539"/>
        <item x="264"/>
        <item x="546"/>
        <item x="27"/>
        <item x="114"/>
        <item x="425"/>
        <item x="318"/>
        <item x="516"/>
        <item x="491"/>
        <item x="356"/>
        <item x="241"/>
        <item x="528"/>
        <item x="33"/>
        <item x="347"/>
        <item x="350"/>
        <item x="92"/>
        <item x="387"/>
        <item x="95"/>
        <item x="338"/>
        <item x="23"/>
        <item x="147"/>
        <item x="68"/>
        <item x="83"/>
        <item x="238"/>
        <item x="180"/>
        <item x="132"/>
        <item x="227"/>
        <item x="410"/>
        <item x="308"/>
        <item x="5"/>
        <item x="500"/>
        <item x="431"/>
        <item x="373"/>
        <item x="453"/>
        <item x="532"/>
        <item x="321"/>
        <item x="110"/>
        <item x="96"/>
        <item x="299"/>
        <item x="391"/>
        <item x="21"/>
        <item x="104"/>
        <item x="9"/>
        <item x="441"/>
        <item x="250"/>
        <item x="70"/>
        <item x="62"/>
        <item x="152"/>
        <item x="304"/>
        <item x="108"/>
        <item x="514"/>
        <item x="248"/>
        <item x="454"/>
        <item x="383"/>
        <item x="178"/>
        <item x="66"/>
        <item x="274"/>
        <item x="541"/>
        <item x="460"/>
        <item x="404"/>
        <item x="247"/>
        <item x="290"/>
        <item x="507"/>
        <item x="101"/>
        <item x="289"/>
        <item x="388"/>
        <item x="269"/>
        <item x="220"/>
        <item x="354"/>
        <item x="408"/>
        <item x="549"/>
        <item x="382"/>
        <item x="473"/>
        <item x="270"/>
        <item x="521"/>
        <item x="325"/>
        <item x="210"/>
        <item x="352"/>
        <item x="126"/>
        <item x="386"/>
        <item x="459"/>
        <item x="219"/>
        <item x="468"/>
        <item x="498"/>
        <item x="442"/>
        <item x="553"/>
        <item x="419"/>
        <item x="414"/>
        <item x="149"/>
        <item x="303"/>
        <item x="197"/>
        <item x="251"/>
        <item x="268"/>
        <item x="228"/>
        <item x="4"/>
        <item x="252"/>
        <item x="65"/>
        <item x="127"/>
        <item x="51"/>
        <item x="463"/>
        <item x="426"/>
        <item x="214"/>
        <item x="351"/>
        <item x="225"/>
        <item x="465"/>
        <item x="153"/>
        <item x="395"/>
        <item x="513"/>
        <item x="76"/>
        <item x="511"/>
        <item x="261"/>
        <item x="177"/>
        <item x="276"/>
        <item x="2"/>
        <item x="198"/>
        <item x="277"/>
        <item x="349"/>
        <item x="112"/>
        <item x="130"/>
        <item x="499"/>
        <item x="461"/>
        <item x="377"/>
        <item x="487"/>
        <item x="317"/>
        <item x="370"/>
        <item x="508"/>
        <item x="85"/>
        <item x="434"/>
        <item x="320"/>
        <item x="26"/>
        <item x="37"/>
        <item x="176"/>
        <item x="483"/>
        <item x="168"/>
        <item x="84"/>
        <item x="256"/>
        <item x="462"/>
        <item x="413"/>
        <item x="489"/>
        <item x="209"/>
        <item x="18"/>
        <item x="536"/>
        <item x="278"/>
        <item x="485"/>
        <item x="369"/>
        <item x="554"/>
        <item x="19"/>
        <item x="134"/>
        <item x="240"/>
        <item x="179"/>
        <item x="313"/>
        <item x="505"/>
        <item x="346"/>
        <item x="416"/>
        <item x="262"/>
        <item x="324"/>
        <item x="98"/>
        <item x="90"/>
        <item x="309"/>
        <item x="272"/>
        <item x="421"/>
        <item x="533"/>
        <item x="233"/>
        <item x="518"/>
        <item x="496"/>
        <item x="398"/>
        <item x="255"/>
        <item x="490"/>
        <item x="55"/>
        <item x="288"/>
        <item x="244"/>
        <item x="38"/>
        <item x="235"/>
        <item x="199"/>
        <item x="444"/>
        <item x="195"/>
        <item x="372"/>
        <item x="36"/>
        <item x="99"/>
        <item x="87"/>
        <item x="551"/>
        <item x="415"/>
        <item x="3"/>
        <item x="403"/>
        <item x="306"/>
        <item x="245"/>
        <item x="145"/>
        <item x="446"/>
        <item x="488"/>
        <item x="17"/>
        <item x="41"/>
        <item x="141"/>
        <item x="531"/>
        <item x="367"/>
        <item x="258"/>
        <item x="22"/>
        <item x="451"/>
        <item x="80"/>
        <item x="88"/>
        <item x="291"/>
        <item x="30"/>
        <item x="494"/>
        <item x="293"/>
        <item x="160"/>
        <item x="326"/>
        <item x="455"/>
        <item x="283"/>
        <item t="default"/>
      </items>
    </pivotField>
    <pivotField dataField="1"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2"/>
  </colFields>
  <colItems count="2">
    <i>
      <x/>
    </i>
    <i i="1">
      <x v="1"/>
    </i>
  </colItems>
  <dataFields count="2">
    <dataField name="Sum of Net Sales" fld="12" baseField="3" baseItem="0" numFmtId="3"/>
    <dataField name="Sum of Target Sales" fld="13" baseField="3" baseItem="0" numFmtId="3"/>
  </dataFields>
  <formats count="25">
    <format dxfId="3673">
      <pivotArea type="all" dataOnly="0" outline="0" fieldPosition="0"/>
    </format>
    <format dxfId="3672">
      <pivotArea outline="0" collapsedLevelsAreSubtotals="1" fieldPosition="0"/>
    </format>
    <format dxfId="3671">
      <pivotArea field="6" type="button" dataOnly="0" labelOnly="1" outline="0"/>
    </format>
    <format dxfId="3670">
      <pivotArea dataOnly="0" labelOnly="1" grandRow="1" outline="0" fieldPosition="0"/>
    </format>
    <format dxfId="3669">
      <pivotArea dataOnly="0" labelOnly="1" outline="0" fieldPosition="0">
        <references count="1">
          <reference field="4294967294" count="1">
            <x v="0"/>
          </reference>
        </references>
      </pivotArea>
    </format>
    <format dxfId="3668">
      <pivotArea type="all" dataOnly="0" outline="0" fieldPosition="0"/>
    </format>
    <format dxfId="3667">
      <pivotArea outline="0" collapsedLevelsAreSubtotals="1" fieldPosition="0"/>
    </format>
    <format dxfId="3666">
      <pivotArea field="6" type="button" dataOnly="0" labelOnly="1" outline="0"/>
    </format>
    <format dxfId="3665">
      <pivotArea dataOnly="0" labelOnly="1" grandRow="1" outline="0" fieldPosition="0"/>
    </format>
    <format dxfId="3664">
      <pivotArea dataOnly="0" labelOnly="1" outline="0" fieldPosition="0">
        <references count="1">
          <reference field="4294967294" count="1">
            <x v="0"/>
          </reference>
        </references>
      </pivotArea>
    </format>
    <format dxfId="3663">
      <pivotArea type="all" dataOnly="0" outline="0" fieldPosition="0"/>
    </format>
    <format dxfId="3662">
      <pivotArea outline="0" collapsedLevelsAreSubtotals="1" fieldPosition="0"/>
    </format>
    <format dxfId="3661">
      <pivotArea field="6" type="button" dataOnly="0" labelOnly="1" outline="0"/>
    </format>
    <format dxfId="3660">
      <pivotArea dataOnly="0" labelOnly="1" grandRow="1" outline="0" fieldPosition="0"/>
    </format>
    <format dxfId="3659">
      <pivotArea dataOnly="0" labelOnly="1" outline="0" fieldPosition="0">
        <references count="1">
          <reference field="4294967294" count="1">
            <x v="0"/>
          </reference>
        </references>
      </pivotArea>
    </format>
    <format dxfId="3658">
      <pivotArea outline="0" fieldPosition="0">
        <references count="1">
          <reference field="4294967294" count="1">
            <x v="0"/>
          </reference>
        </references>
      </pivotArea>
    </format>
    <format dxfId="3657">
      <pivotArea outline="0" fieldPosition="0">
        <references count="1">
          <reference field="4294967294" count="1">
            <x v="1"/>
          </reference>
        </references>
      </pivotArea>
    </format>
    <format dxfId="3656">
      <pivotArea collapsedLevelsAreSubtotals="1" fieldPosition="0">
        <references count="1">
          <reference field="3" count="0"/>
        </references>
      </pivotArea>
    </format>
    <format dxfId="3655">
      <pivotArea dataOnly="0" labelOnly="1" fieldPosition="0">
        <references count="1">
          <reference field="3" count="0"/>
        </references>
      </pivotArea>
    </format>
    <format dxfId="3654">
      <pivotArea type="all" dataOnly="0" outline="0" fieldPosition="0"/>
    </format>
    <format dxfId="3653">
      <pivotArea outline="0" collapsedLevelsAreSubtotals="1" fieldPosition="0"/>
    </format>
    <format dxfId="3652">
      <pivotArea field="3" type="button" dataOnly="0" labelOnly="1" outline="0" axis="axisRow" fieldPosition="0"/>
    </format>
    <format dxfId="3651">
      <pivotArea dataOnly="0" labelOnly="1" fieldPosition="0">
        <references count="1">
          <reference field="3" count="0"/>
        </references>
      </pivotArea>
    </format>
    <format dxfId="3650">
      <pivotArea dataOnly="0" labelOnly="1" grandRow="1" outline="0" fieldPosition="0"/>
    </format>
    <format dxfId="3649">
      <pivotArea dataOnly="0" labelOnly="1" outline="0" fieldPosition="0">
        <references count="1">
          <reference field="4294967294" count="2">
            <x v="0"/>
            <x v="1"/>
          </reference>
        </references>
      </pivotArea>
    </format>
  </formats>
  <chartFormats count="4">
    <chartFormat chart="8"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A42D80-7E2A-45BA-A35F-45746A9F918F}"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rowHeaderCaption="Product Category">
  <location ref="A14:B21" firstHeaderRow="1" firstDataRow="1" firstDataCol="1"/>
  <pivotFields count="18">
    <pivotField numFmtId="164" showAll="0">
      <items count="181">
        <item x="124"/>
        <item x="115"/>
        <item x="113"/>
        <item x="172"/>
        <item x="31"/>
        <item x="36"/>
        <item x="91"/>
        <item x="49"/>
        <item x="131"/>
        <item x="26"/>
        <item x="21"/>
        <item x="151"/>
        <item x="136"/>
        <item x="168"/>
        <item x="57"/>
        <item x="125"/>
        <item x="99"/>
        <item x="83"/>
        <item x="15"/>
        <item x="72"/>
        <item x="140"/>
        <item x="155"/>
        <item x="116"/>
        <item x="154"/>
        <item x="71"/>
        <item x="2"/>
        <item x="61"/>
        <item x="22"/>
        <item x="170"/>
        <item x="32"/>
        <item x="177"/>
        <item x="39"/>
        <item x="46"/>
        <item x="80"/>
        <item x="64"/>
        <item x="123"/>
        <item x="138"/>
        <item x="48"/>
        <item x="128"/>
        <item x="60"/>
        <item x="89"/>
        <item x="75"/>
        <item x="157"/>
        <item x="145"/>
        <item x="179"/>
        <item x="175"/>
        <item x="93"/>
        <item x="162"/>
        <item x="78"/>
        <item x="68"/>
        <item x="69"/>
        <item x="55"/>
        <item x="11"/>
        <item x="135"/>
        <item x="101"/>
        <item x="8"/>
        <item x="107"/>
        <item x="74"/>
        <item x="156"/>
        <item x="59"/>
        <item x="165"/>
        <item x="52"/>
        <item x="27"/>
        <item x="167"/>
        <item x="35"/>
        <item x="119"/>
        <item x="87"/>
        <item x="66"/>
        <item x="150"/>
        <item x="50"/>
        <item x="130"/>
        <item x="79"/>
        <item x="160"/>
        <item x="153"/>
        <item x="42"/>
        <item x="47"/>
        <item x="176"/>
        <item x="73"/>
        <item x="90"/>
        <item x="0"/>
        <item x="120"/>
        <item x="92"/>
        <item x="178"/>
        <item x="13"/>
        <item x="164"/>
        <item x="70"/>
        <item x="118"/>
        <item x="51"/>
        <item x="171"/>
        <item x="97"/>
        <item x="76"/>
        <item x="122"/>
        <item x="133"/>
        <item x="112"/>
        <item x="3"/>
        <item x="102"/>
        <item x="104"/>
        <item x="174"/>
        <item x="117"/>
        <item x="30"/>
        <item x="159"/>
        <item x="141"/>
        <item x="67"/>
        <item x="108"/>
        <item x="19"/>
        <item x="95"/>
        <item x="103"/>
        <item x="9"/>
        <item x="127"/>
        <item x="163"/>
        <item x="106"/>
        <item x="17"/>
        <item x="65"/>
        <item x="109"/>
        <item x="166"/>
        <item x="44"/>
        <item x="58"/>
        <item x="134"/>
        <item x="37"/>
        <item x="146"/>
        <item x="43"/>
        <item x="149"/>
        <item x="5"/>
        <item x="18"/>
        <item x="1"/>
        <item x="63"/>
        <item x="143"/>
        <item x="12"/>
        <item x="7"/>
        <item x="40"/>
        <item x="96"/>
        <item x="132"/>
        <item x="129"/>
        <item x="82"/>
        <item x="158"/>
        <item x="88"/>
        <item x="84"/>
        <item x="169"/>
        <item x="137"/>
        <item x="38"/>
        <item x="14"/>
        <item x="126"/>
        <item x="105"/>
        <item x="62"/>
        <item x="23"/>
        <item x="28"/>
        <item x="6"/>
        <item x="20"/>
        <item x="85"/>
        <item x="34"/>
        <item x="4"/>
        <item x="147"/>
        <item x="10"/>
        <item x="98"/>
        <item x="111"/>
        <item x="33"/>
        <item x="56"/>
        <item x="152"/>
        <item x="139"/>
        <item x="110"/>
        <item x="161"/>
        <item x="114"/>
        <item x="81"/>
        <item x="24"/>
        <item x="144"/>
        <item x="45"/>
        <item x="54"/>
        <item x="41"/>
        <item x="53"/>
        <item x="29"/>
        <item x="94"/>
        <item x="173"/>
        <item x="100"/>
        <item x="148"/>
        <item x="121"/>
        <item x="142"/>
        <item x="25"/>
        <item x="16"/>
        <item x="77"/>
        <item x="86"/>
        <item t="default"/>
      </items>
    </pivotField>
    <pivotField showAll="0"/>
    <pivotField showAll="0"/>
    <pivotField showAll="0">
      <items count="5">
        <item x="1"/>
        <item x="3"/>
        <item x="2"/>
        <item x="0"/>
        <item t="default"/>
      </items>
    </pivotField>
    <pivotField showAll="0"/>
    <pivotField showAll="0"/>
    <pivotField showAll="0">
      <items count="4">
        <item x="1"/>
        <item x="0"/>
        <item x="2"/>
        <item t="default"/>
      </items>
    </pivotField>
    <pivotField showAll="0">
      <items count="7">
        <item x="4"/>
        <item x="5"/>
        <item x="1"/>
        <item x="2"/>
        <item x="0"/>
        <item x="3"/>
        <item t="default"/>
      </items>
    </pivotField>
    <pivotField showAll="0"/>
    <pivotField showAll="0"/>
    <pivotField showAll="0"/>
    <pivotField showAll="0">
      <items count="558">
        <item x="285"/>
        <item x="46"/>
        <item x="125"/>
        <item x="115"/>
        <item x="396"/>
        <item x="469"/>
        <item x="337"/>
        <item x="120"/>
        <item x="402"/>
        <item x="204"/>
        <item x="246"/>
        <item x="121"/>
        <item x="342"/>
        <item x="327"/>
        <item x="94"/>
        <item x="185"/>
        <item x="323"/>
        <item x="479"/>
        <item x="25"/>
        <item x="281"/>
        <item x="556"/>
        <item x="190"/>
        <item x="423"/>
        <item x="181"/>
        <item x="253"/>
        <item x="189"/>
        <item x="155"/>
        <item x="316"/>
        <item x="439"/>
        <item x="374"/>
        <item x="212"/>
        <item x="314"/>
        <item x="292"/>
        <item x="174"/>
        <item x="100"/>
        <item x="32"/>
        <item x="154"/>
        <item x="339"/>
        <item x="44"/>
        <item x="449"/>
        <item x="184"/>
        <item x="206"/>
        <item x="305"/>
        <item x="440"/>
        <item x="380"/>
        <item x="411"/>
        <item x="43"/>
        <item x="359"/>
        <item x="71"/>
        <item x="10"/>
        <item x="194"/>
        <item x="86"/>
        <item x="196"/>
        <item x="34"/>
        <item x="428"/>
        <item x="35"/>
        <item x="230"/>
        <item x="129"/>
        <item x="47"/>
        <item x="389"/>
        <item x="552"/>
        <item x="162"/>
        <item x="242"/>
        <item x="512"/>
        <item x="353"/>
        <item x="202"/>
        <item x="436"/>
        <item x="362"/>
        <item x="93"/>
        <item x="364"/>
        <item x="31"/>
        <item x="146"/>
        <item x="357"/>
        <item x="524"/>
        <item x="158"/>
        <item x="502"/>
        <item x="148"/>
        <item x="319"/>
        <item x="163"/>
        <item x="529"/>
        <item x="548"/>
        <item x="418"/>
        <item x="39"/>
        <item x="409"/>
        <item x="213"/>
        <item x="300"/>
        <item x="417"/>
        <item x="45"/>
        <item x="477"/>
        <item x="273"/>
        <item x="448"/>
        <item x="311"/>
        <item x="105"/>
        <item x="493"/>
        <item x="265"/>
        <item x="390"/>
        <item x="61"/>
        <item x="89"/>
        <item x="166"/>
        <item x="555"/>
        <item x="397"/>
        <item x="211"/>
        <item x="182"/>
        <item x="381"/>
        <item x="358"/>
        <item x="406"/>
        <item x="282"/>
        <item x="456"/>
        <item x="79"/>
        <item x="443"/>
        <item x="544"/>
        <item x="343"/>
        <item x="63"/>
        <item x="501"/>
        <item x="475"/>
        <item x="239"/>
        <item x="484"/>
        <item x="69"/>
        <item x="467"/>
        <item x="226"/>
        <item x="138"/>
        <item x="142"/>
        <item x="122"/>
        <item x="64"/>
        <item x="474"/>
        <item x="542"/>
        <item x="119"/>
        <item x="279"/>
        <item x="424"/>
        <item x="385"/>
        <item x="543"/>
        <item x="12"/>
        <item x="361"/>
        <item x="102"/>
        <item x="504"/>
        <item x="260"/>
        <item x="482"/>
        <item x="175"/>
        <item x="525"/>
        <item x="200"/>
        <item x="150"/>
        <item x="49"/>
        <item x="56"/>
        <item x="399"/>
        <item x="301"/>
        <item x="331"/>
        <item x="60"/>
        <item x="193"/>
        <item x="547"/>
        <item x="111"/>
        <item x="128"/>
        <item x="420"/>
        <item x="144"/>
        <item x="208"/>
        <item x="97"/>
        <item x="257"/>
        <item x="476"/>
        <item x="452"/>
        <item x="298"/>
        <item x="509"/>
        <item x="183"/>
        <item x="53"/>
        <item x="429"/>
        <item x="492"/>
        <item x="438"/>
        <item x="497"/>
        <item x="540"/>
        <item x="139"/>
        <item x="322"/>
        <item x="231"/>
        <item x="506"/>
        <item x="107"/>
        <item x="135"/>
        <item x="75"/>
        <item x="20"/>
        <item x="297"/>
        <item x="77"/>
        <item x="295"/>
        <item x="223"/>
        <item x="205"/>
        <item x="11"/>
        <item x="355"/>
        <item x="113"/>
        <item x="379"/>
        <item x="136"/>
        <item x="91"/>
        <item x="330"/>
        <item x="368"/>
        <item x="59"/>
        <item x="201"/>
        <item x="486"/>
        <item x="519"/>
        <item x="237"/>
        <item x="137"/>
        <item x="401"/>
        <item x="503"/>
        <item x="458"/>
        <item x="192"/>
        <item x="170"/>
        <item x="106"/>
        <item x="450"/>
        <item x="254"/>
        <item x="472"/>
        <item x="52"/>
        <item x="332"/>
        <item x="376"/>
        <item x="478"/>
        <item x="266"/>
        <item x="341"/>
        <item x="523"/>
        <item x="216"/>
        <item x="6"/>
        <item x="50"/>
        <item x="157"/>
        <item x="191"/>
        <item x="82"/>
        <item x="0"/>
        <item x="116"/>
        <item x="14"/>
        <item x="74"/>
        <item x="243"/>
        <item x="215"/>
        <item x="7"/>
        <item x="412"/>
        <item x="366"/>
        <item x="234"/>
        <item x="537"/>
        <item x="54"/>
        <item x="249"/>
        <item x="335"/>
        <item x="187"/>
        <item x="203"/>
        <item x="156"/>
        <item x="124"/>
        <item x="545"/>
        <item x="526"/>
        <item x="392"/>
        <item x="165"/>
        <item x="405"/>
        <item x="400"/>
        <item x="470"/>
        <item x="345"/>
        <item x="427"/>
        <item x="161"/>
        <item x="164"/>
        <item x="171"/>
        <item x="302"/>
        <item x="24"/>
        <item x="481"/>
        <item x="371"/>
        <item x="515"/>
        <item x="232"/>
        <item x="433"/>
        <item x="217"/>
        <item x="336"/>
        <item x="315"/>
        <item x="103"/>
        <item x="72"/>
        <item x="143"/>
        <item x="340"/>
        <item x="432"/>
        <item x="42"/>
        <item x="57"/>
        <item x="430"/>
        <item x="495"/>
        <item x="78"/>
        <item x="123"/>
        <item x="159"/>
        <item x="310"/>
        <item x="284"/>
        <item x="328"/>
        <item x="333"/>
        <item x="133"/>
        <item x="271"/>
        <item x="307"/>
        <item x="40"/>
        <item x="236"/>
        <item x="375"/>
        <item x="140"/>
        <item x="447"/>
        <item x="222"/>
        <item x="538"/>
        <item x="8"/>
        <item x="13"/>
        <item x="81"/>
        <item x="480"/>
        <item x="363"/>
        <item x="344"/>
        <item x="29"/>
        <item x="275"/>
        <item x="73"/>
        <item x="224"/>
        <item x="287"/>
        <item x="422"/>
        <item x="286"/>
        <item x="167"/>
        <item x="67"/>
        <item x="329"/>
        <item x="169"/>
        <item x="384"/>
        <item x="435"/>
        <item x="378"/>
        <item x="407"/>
        <item x="296"/>
        <item x="348"/>
        <item x="221"/>
        <item x="445"/>
        <item x="263"/>
        <item x="131"/>
        <item x="267"/>
        <item x="471"/>
        <item x="393"/>
        <item x="259"/>
        <item x="16"/>
        <item x="15"/>
        <item x="58"/>
        <item x="118"/>
        <item x="294"/>
        <item x="457"/>
        <item x="151"/>
        <item x="530"/>
        <item x="437"/>
        <item x="534"/>
        <item x="229"/>
        <item x="172"/>
        <item x="466"/>
        <item x="186"/>
        <item x="550"/>
        <item x="520"/>
        <item x="535"/>
        <item x="218"/>
        <item x="28"/>
        <item x="517"/>
        <item x="117"/>
        <item x="522"/>
        <item x="394"/>
        <item x="312"/>
        <item x="109"/>
        <item x="188"/>
        <item x="173"/>
        <item x="48"/>
        <item x="1"/>
        <item x="280"/>
        <item x="334"/>
        <item x="360"/>
        <item x="207"/>
        <item x="464"/>
        <item x="527"/>
        <item x="510"/>
        <item x="365"/>
        <item x="539"/>
        <item x="264"/>
        <item x="546"/>
        <item x="27"/>
        <item x="114"/>
        <item x="425"/>
        <item x="318"/>
        <item x="516"/>
        <item x="491"/>
        <item x="356"/>
        <item x="241"/>
        <item x="528"/>
        <item x="33"/>
        <item x="347"/>
        <item x="350"/>
        <item x="92"/>
        <item x="387"/>
        <item x="95"/>
        <item x="338"/>
        <item x="23"/>
        <item x="147"/>
        <item x="68"/>
        <item x="83"/>
        <item x="238"/>
        <item x="180"/>
        <item x="132"/>
        <item x="227"/>
        <item x="410"/>
        <item x="308"/>
        <item x="5"/>
        <item x="500"/>
        <item x="431"/>
        <item x="373"/>
        <item x="453"/>
        <item x="532"/>
        <item x="321"/>
        <item x="110"/>
        <item x="96"/>
        <item x="299"/>
        <item x="391"/>
        <item x="21"/>
        <item x="104"/>
        <item x="9"/>
        <item x="441"/>
        <item x="250"/>
        <item x="70"/>
        <item x="62"/>
        <item x="152"/>
        <item x="304"/>
        <item x="108"/>
        <item x="514"/>
        <item x="248"/>
        <item x="454"/>
        <item x="383"/>
        <item x="178"/>
        <item x="66"/>
        <item x="274"/>
        <item x="541"/>
        <item x="460"/>
        <item x="404"/>
        <item x="247"/>
        <item x="290"/>
        <item x="507"/>
        <item x="101"/>
        <item x="289"/>
        <item x="388"/>
        <item x="269"/>
        <item x="220"/>
        <item x="354"/>
        <item x="408"/>
        <item x="549"/>
        <item x="382"/>
        <item x="473"/>
        <item x="270"/>
        <item x="521"/>
        <item x="325"/>
        <item x="210"/>
        <item x="352"/>
        <item x="126"/>
        <item x="386"/>
        <item x="459"/>
        <item x="219"/>
        <item x="468"/>
        <item x="498"/>
        <item x="442"/>
        <item x="553"/>
        <item x="419"/>
        <item x="414"/>
        <item x="149"/>
        <item x="303"/>
        <item x="197"/>
        <item x="251"/>
        <item x="268"/>
        <item x="228"/>
        <item x="4"/>
        <item x="252"/>
        <item x="65"/>
        <item x="127"/>
        <item x="51"/>
        <item x="463"/>
        <item x="426"/>
        <item x="214"/>
        <item x="351"/>
        <item x="225"/>
        <item x="465"/>
        <item x="153"/>
        <item x="395"/>
        <item x="513"/>
        <item x="76"/>
        <item x="511"/>
        <item x="261"/>
        <item x="177"/>
        <item x="276"/>
        <item x="2"/>
        <item x="198"/>
        <item x="277"/>
        <item x="349"/>
        <item x="112"/>
        <item x="130"/>
        <item x="499"/>
        <item x="461"/>
        <item x="377"/>
        <item x="487"/>
        <item x="317"/>
        <item x="370"/>
        <item x="508"/>
        <item x="85"/>
        <item x="434"/>
        <item x="320"/>
        <item x="26"/>
        <item x="37"/>
        <item x="176"/>
        <item x="483"/>
        <item x="168"/>
        <item x="84"/>
        <item x="256"/>
        <item x="462"/>
        <item x="413"/>
        <item x="489"/>
        <item x="209"/>
        <item x="18"/>
        <item x="536"/>
        <item x="278"/>
        <item x="485"/>
        <item x="369"/>
        <item x="554"/>
        <item x="19"/>
        <item x="134"/>
        <item x="240"/>
        <item x="179"/>
        <item x="313"/>
        <item x="505"/>
        <item x="346"/>
        <item x="416"/>
        <item x="262"/>
        <item x="324"/>
        <item x="98"/>
        <item x="90"/>
        <item x="309"/>
        <item x="272"/>
        <item x="421"/>
        <item x="533"/>
        <item x="233"/>
        <item x="518"/>
        <item x="496"/>
        <item x="398"/>
        <item x="255"/>
        <item x="490"/>
        <item x="55"/>
        <item x="288"/>
        <item x="244"/>
        <item x="38"/>
        <item x="235"/>
        <item x="199"/>
        <item x="444"/>
        <item x="195"/>
        <item x="372"/>
        <item x="36"/>
        <item x="99"/>
        <item x="87"/>
        <item x="551"/>
        <item x="415"/>
        <item x="3"/>
        <item x="403"/>
        <item x="306"/>
        <item x="245"/>
        <item x="145"/>
        <item x="446"/>
        <item x="488"/>
        <item x="17"/>
        <item x="41"/>
        <item x="141"/>
        <item x="531"/>
        <item x="367"/>
        <item x="258"/>
        <item x="22"/>
        <item x="451"/>
        <item x="80"/>
        <item x="88"/>
        <item x="291"/>
        <item x="30"/>
        <item x="494"/>
        <item x="293"/>
        <item x="160"/>
        <item x="326"/>
        <item x="455"/>
        <item x="283"/>
        <item t="default"/>
      </items>
    </pivotField>
    <pivotField dataField="1" showAll="0">
      <items count="940">
        <item x="866"/>
        <item x="372"/>
        <item x="47"/>
        <item x="203"/>
        <item x="226"/>
        <item x="138"/>
        <item x="123"/>
        <item x="283"/>
        <item x="565"/>
        <item x="455"/>
        <item x="710"/>
        <item x="131"/>
        <item x="578"/>
        <item x="301"/>
        <item x="241"/>
        <item x="146"/>
        <item x="310"/>
        <item x="749"/>
        <item x="133"/>
        <item x="460"/>
        <item x="438"/>
        <item x="543"/>
        <item x="801"/>
        <item x="98"/>
        <item x="443"/>
        <item x="732"/>
        <item x="328"/>
        <item x="130"/>
        <item x="210"/>
        <item x="938"/>
        <item x="446"/>
        <item x="524"/>
        <item x="365"/>
        <item x="430"/>
        <item x="25"/>
        <item x="766"/>
        <item x="371"/>
        <item x="935"/>
        <item x="636"/>
        <item x="756"/>
        <item x="393"/>
        <item x="729"/>
        <item x="815"/>
        <item x="172"/>
        <item x="218"/>
        <item x="317"/>
        <item x="205"/>
        <item x="820"/>
        <item x="724"/>
        <item x="217"/>
        <item x="437"/>
        <item x="612"/>
        <item x="420"/>
        <item x="523"/>
        <item x="254"/>
        <item x="246"/>
        <item x="105"/>
        <item x="32"/>
        <item x="401"/>
        <item x="828"/>
        <item x="171"/>
        <item x="646"/>
        <item x="417"/>
        <item x="197"/>
        <item x="404"/>
        <item x="380"/>
        <item x="640"/>
        <item x="715"/>
        <item x="594"/>
        <item x="496"/>
        <item x="457"/>
        <item x="777"/>
        <item x="904"/>
        <item x="667"/>
        <item x="797"/>
        <item x="651"/>
        <item x="759"/>
        <item x="45"/>
        <item x="859"/>
        <item x="245"/>
        <item x="398"/>
        <item x="209"/>
        <item x="122"/>
        <item x="74"/>
        <item x="275"/>
        <item x="825"/>
        <item x="89"/>
        <item x="535"/>
        <item x="593"/>
        <item x="231"/>
        <item x="288"/>
        <item x="228"/>
        <item x="403"/>
        <item x="10"/>
        <item x="499"/>
        <item x="102"/>
        <item x="798"/>
        <item x="789"/>
        <item x="35"/>
        <item x="44"/>
        <item x="829"/>
        <item x="753"/>
        <item x="281"/>
        <item x="36"/>
        <item x="635"/>
        <item x="373"/>
        <item x="522"/>
        <item x="269"/>
        <item x="489"/>
        <item x="549"/>
        <item x="478"/>
        <item x="621"/>
        <item x="303"/>
        <item x="930"/>
        <item x="180"/>
        <item x="48"/>
        <item x="142"/>
        <item x="822"/>
        <item x="834"/>
        <item x="487"/>
        <item x="916"/>
        <item x="817"/>
        <item x="805"/>
        <item x="892"/>
        <item x="545"/>
        <item x="238"/>
        <item x="634"/>
        <item x="826"/>
        <item x="97"/>
        <item x="706"/>
        <item x="206"/>
        <item x="427"/>
        <item x="868"/>
        <item x="745"/>
        <item x="519"/>
        <item x="873"/>
        <item x="504"/>
        <item x="763"/>
        <item x="480"/>
        <item x="31"/>
        <item x="162"/>
        <item x="508"/>
        <item x="165"/>
        <item x="807"/>
        <item x="907"/>
        <item x="436"/>
        <item x="295"/>
        <item x="493"/>
        <item x="40"/>
        <item x="352"/>
        <item x="136"/>
        <item x="605"/>
        <item x="175"/>
        <item x="728"/>
        <item x="680"/>
        <item x="714"/>
        <item x="786"/>
        <item x="391"/>
        <item x="289"/>
        <item x="46"/>
        <item x="414"/>
        <item x="110"/>
        <item x="865"/>
        <item x="915"/>
        <item x="550"/>
        <item x="181"/>
        <item x="369"/>
        <item x="686"/>
        <item x="608"/>
        <item x="850"/>
        <item x="335"/>
        <item x="255"/>
        <item x="90"/>
        <item x="589"/>
        <item x="351"/>
        <item x="253"/>
        <item x="184"/>
        <item x="395"/>
        <item x="604"/>
        <item x="207"/>
        <item x="776"/>
        <item x="569"/>
        <item x="582"/>
        <item x="585"/>
        <item x="367"/>
        <item x="666"/>
        <item x="833"/>
        <item x="856"/>
        <item x="334"/>
        <item x="63"/>
        <item x="553"/>
        <item x="536"/>
        <item x="769"/>
        <item x="806"/>
        <item x="656"/>
        <item x="435"/>
        <item x="906"/>
        <item x="93"/>
        <item x="717"/>
        <item x="730"/>
        <item x="154"/>
        <item x="744"/>
        <item x="742"/>
        <item x="672"/>
        <item x="494"/>
        <item x="134"/>
        <item x="461"/>
        <item x="739"/>
        <item x="250"/>
        <item x="708"/>
        <item x="65"/>
        <item x="82"/>
        <item x="722"/>
        <item x="677"/>
        <item x="923"/>
        <item x="926"/>
        <item x="876"/>
        <item x="66"/>
        <item x="384"/>
        <item x="308"/>
        <item x="256"/>
        <item x="631"/>
        <item x="905"/>
        <item x="338"/>
        <item x="128"/>
        <item x="296"/>
        <item x="567"/>
        <item x="929"/>
        <item x="707"/>
        <item x="794"/>
        <item x="902"/>
        <item x="397"/>
        <item x="623"/>
        <item x="72"/>
        <item x="613"/>
        <item x="224"/>
        <item x="421"/>
        <item x="809"/>
        <item x="276"/>
        <item x="177"/>
        <item x="158"/>
        <item x="497"/>
        <item x="362"/>
        <item x="242"/>
        <item x="898"/>
        <item x="107"/>
        <item x="236"/>
        <item x="214"/>
        <item x="721"/>
        <item x="703"/>
        <item x="325"/>
        <item x="402"/>
        <item x="58"/>
        <item x="736"/>
        <item x="544"/>
        <item x="573"/>
        <item x="743"/>
        <item x="299"/>
        <item x="366"/>
        <item x="117"/>
        <item x="12"/>
        <item x="502"/>
        <item x="445"/>
        <item x="869"/>
        <item x="647"/>
        <item x="615"/>
        <item x="692"/>
        <item x="793"/>
        <item x="342"/>
        <item x="832"/>
        <item x="682"/>
        <item x="761"/>
        <item x="198"/>
        <item x="392"/>
        <item x="518"/>
        <item x="684"/>
        <item x="321"/>
        <item x="388"/>
        <item x="857"/>
        <item x="482"/>
        <item x="141"/>
        <item x="723"/>
        <item x="760"/>
        <item x="495"/>
        <item x="227"/>
        <item x="101"/>
        <item x="167"/>
        <item x="607"/>
        <item x="610"/>
        <item x="572"/>
        <item x="55"/>
        <item x="51"/>
        <item x="506"/>
        <item x="618"/>
        <item x="819"/>
        <item x="358"/>
        <item x="413"/>
        <item x="914"/>
        <item x="471"/>
        <item x="644"/>
        <item x="113"/>
        <item x="62"/>
        <item x="160"/>
        <item x="208"/>
        <item x="788"/>
        <item x="78"/>
        <item x="215"/>
        <item x="248"/>
        <item x="143"/>
        <item x="650"/>
        <item x="538"/>
        <item x="359"/>
        <item x="787"/>
        <item x="20"/>
        <item x="554"/>
        <item x="669"/>
        <item x="893"/>
        <item x="622"/>
        <item x="385"/>
        <item x="454"/>
        <item x="80"/>
        <item x="151"/>
        <item x="155"/>
        <item x="271"/>
        <item x="654"/>
        <item x="490"/>
        <item x="791"/>
        <item x="661"/>
        <item x="95"/>
        <item x="645"/>
        <item x="775"/>
        <item x="61"/>
        <item x="11"/>
        <item x="841"/>
        <item x="485"/>
        <item x="533"/>
        <item x="237"/>
        <item x="513"/>
        <item x="748"/>
        <item x="120"/>
        <item x="862"/>
        <item x="552"/>
        <item x="118"/>
        <item x="243"/>
        <item x="429"/>
        <item x="802"/>
        <item x="813"/>
        <item x="153"/>
        <item x="855"/>
        <item x="716"/>
        <item x="282"/>
        <item x="503"/>
        <item x="847"/>
        <item x="354"/>
        <item x="681"/>
        <item x="895"/>
        <item x="190"/>
        <item x="326"/>
        <item x="624"/>
        <item x="614"/>
        <item x="277"/>
        <item x="851"/>
        <item x="780"/>
        <item x="668"/>
        <item x="731"/>
        <item x="387"/>
        <item x="842"/>
        <item x="673"/>
        <item x="911"/>
        <item x="734"/>
        <item x="223"/>
        <item x="152"/>
        <item x="637"/>
        <item x="774"/>
        <item x="528"/>
        <item x="555"/>
        <item x="111"/>
        <item x="260"/>
        <item x="447"/>
        <item x="318"/>
        <item x="292"/>
        <item x="575"/>
        <item x="444"/>
        <item x="174"/>
        <item x="6"/>
        <item x="727"/>
        <item x="129"/>
        <item x="244"/>
        <item x="71"/>
        <item x="251"/>
        <item x="186"/>
        <item x="867"/>
        <item x="595"/>
        <item x="858"/>
        <item x="751"/>
        <item x="678"/>
        <item x="422"/>
        <item x="258"/>
        <item x="132"/>
        <item x="583"/>
        <item x="627"/>
        <item x="7"/>
        <item x="568"/>
        <item x="473"/>
        <item x="54"/>
        <item x="459"/>
        <item x="286"/>
        <item x="808"/>
        <item x="14"/>
        <item x="452"/>
        <item x="659"/>
        <item x="919"/>
        <item x="632"/>
        <item x="909"/>
        <item x="219"/>
        <item x="827"/>
        <item x="472"/>
        <item x="639"/>
        <item x="350"/>
        <item x="336"/>
        <item x="918"/>
        <item x="339"/>
        <item x="77"/>
        <item x="711"/>
        <item x="0"/>
        <item x="213"/>
        <item x="125"/>
        <item x="900"/>
        <item x="304"/>
        <item x="924"/>
        <item x="689"/>
        <item x="52"/>
        <item x="24"/>
        <item x="191"/>
        <item x="179"/>
        <item x="85"/>
        <item x="719"/>
        <item x="584"/>
        <item x="183"/>
        <item x="333"/>
        <item x="671"/>
        <item x="511"/>
        <item x="137"/>
        <item x="574"/>
        <item x="239"/>
        <item x="888"/>
        <item x="735"/>
        <item x="476"/>
        <item x="220"/>
        <item x="189"/>
        <item x="56"/>
        <item x="516"/>
        <item x="411"/>
        <item x="551"/>
        <item x="559"/>
        <item x="344"/>
        <item x="839"/>
        <item x="313"/>
        <item x="863"/>
        <item x="655"/>
        <item x="598"/>
        <item x="194"/>
        <item x="298"/>
        <item x="173"/>
        <item x="770"/>
        <item x="418"/>
        <item x="534"/>
        <item x="712"/>
        <item x="629"/>
        <item x="781"/>
        <item x="870"/>
        <item x="261"/>
        <item x="284"/>
        <item x="509"/>
        <item x="620"/>
        <item x="75"/>
        <item x="222"/>
        <item x="322"/>
        <item x="458"/>
        <item x="112"/>
        <item x="451"/>
        <item x="571"/>
        <item x="465"/>
        <item x="182"/>
        <item x="880"/>
        <item x="293"/>
        <item x="453"/>
        <item x="903"/>
        <item x="564"/>
        <item x="407"/>
        <item x="108"/>
        <item x="750"/>
        <item x="530"/>
        <item x="290"/>
        <item x="665"/>
        <item x="726"/>
        <item x="156"/>
        <item x="462"/>
        <item x="556"/>
        <item x="8"/>
        <item x="810"/>
        <item x="782"/>
        <item x="625"/>
        <item x="439"/>
        <item x="263"/>
        <item x="525"/>
        <item x="29"/>
        <item x="43"/>
        <item x="149"/>
        <item x="59"/>
        <item x="754"/>
        <item x="468"/>
        <item x="159"/>
        <item x="628"/>
        <item x="163"/>
        <item x="41"/>
        <item x="934"/>
        <item x="811"/>
        <item x="889"/>
        <item x="505"/>
        <item x="185"/>
        <item x="272"/>
        <item x="412"/>
        <item x="81"/>
        <item x="894"/>
        <item x="135"/>
        <item x="526"/>
        <item x="13"/>
        <item x="374"/>
        <item x="370"/>
        <item x="928"/>
        <item x="448"/>
        <item x="76"/>
        <item x="176"/>
        <item x="899"/>
        <item x="531"/>
        <item x="347"/>
        <item x="481"/>
        <item x="270"/>
        <item x="400"/>
        <item x="84"/>
        <item x="69"/>
        <item x="440"/>
        <item x="355"/>
        <item x="405"/>
        <item x="725"/>
        <item x="450"/>
        <item x="561"/>
        <item x="733"/>
        <item x="147"/>
        <item x="864"/>
        <item x="611"/>
        <item x="542"/>
        <item x="291"/>
        <item x="586"/>
        <item x="691"/>
        <item x="229"/>
        <item x="891"/>
        <item x="795"/>
        <item x="297"/>
        <item x="375"/>
        <item x="778"/>
        <item x="713"/>
        <item x="937"/>
        <item x="33"/>
        <item x="188"/>
        <item x="324"/>
        <item x="660"/>
        <item x="268"/>
        <item x="349"/>
        <item x="212"/>
        <item x="60"/>
        <item x="633"/>
        <item x="442"/>
        <item x="382"/>
        <item x="406"/>
        <item x="331"/>
        <item x="884"/>
        <item x="441"/>
        <item x="738"/>
        <item x="386"/>
        <item x="474"/>
        <item x="874"/>
        <item x="679"/>
        <item x="337"/>
        <item x="16"/>
        <item x="127"/>
        <item x="168"/>
        <item x="15"/>
        <item x="845"/>
        <item x="882"/>
        <item x="700"/>
        <item x="643"/>
        <item x="28"/>
        <item x="264"/>
        <item x="848"/>
        <item x="527"/>
        <item x="697"/>
        <item x="280"/>
        <item x="532"/>
        <item x="193"/>
        <item x="920"/>
        <item x="115"/>
        <item x="704"/>
        <item x="216"/>
        <item x="196"/>
        <item x="144"/>
        <item x="126"/>
        <item x="225"/>
        <item x="50"/>
        <item x="853"/>
        <item x="562"/>
        <item x="771"/>
        <item x="415"/>
        <item x="305"/>
        <item x="694"/>
        <item x="901"/>
        <item x="507"/>
        <item x="539"/>
        <item x="871"/>
        <item x="1"/>
        <item x="49"/>
        <item x="843"/>
        <item x="479"/>
        <item x="332"/>
        <item x="885"/>
        <item x="836"/>
        <item x="821"/>
        <item x="510"/>
        <item x="27"/>
        <item x="364"/>
        <item x="426"/>
        <item x="657"/>
        <item x="890"/>
        <item x="449"/>
        <item x="500"/>
        <item x="912"/>
        <item x="247"/>
        <item x="872"/>
        <item x="34"/>
        <item x="491"/>
        <item x="467"/>
        <item x="240"/>
        <item x="521"/>
        <item x="302"/>
        <item x="121"/>
        <item x="477"/>
        <item x="925"/>
        <item x="616"/>
        <item x="602"/>
        <item x="23"/>
        <item x="844"/>
        <item x="767"/>
        <item x="702"/>
        <item x="96"/>
        <item x="921"/>
        <item x="164"/>
        <item x="340"/>
        <item x="204"/>
        <item x="99"/>
        <item x="408"/>
        <item x="425"/>
        <item x="860"/>
        <item x="456"/>
        <item x="547"/>
        <item x="800"/>
        <item x="86"/>
        <item x="592"/>
        <item x="887"/>
        <item x="70"/>
        <item x="278"/>
        <item x="560"/>
        <item x="626"/>
        <item x="100"/>
        <item x="419"/>
        <item x="520"/>
        <item x="356"/>
        <item x="294"/>
        <item x="116"/>
        <item x="537"/>
        <item x="696"/>
        <item x="148"/>
        <item x="410"/>
        <item x="389"/>
        <item x="840"/>
        <item x="557"/>
        <item x="109"/>
        <item x="5"/>
        <item x="314"/>
        <item x="698"/>
        <item x="558"/>
        <item x="803"/>
        <item x="390"/>
        <item x="566"/>
        <item x="64"/>
        <item x="674"/>
        <item x="501"/>
        <item x="312"/>
        <item x="662"/>
        <item x="878"/>
        <item x="21"/>
        <item x="648"/>
        <item x="266"/>
        <item x="642"/>
        <item x="201"/>
        <item x="814"/>
        <item x="9"/>
        <item x="830"/>
        <item x="73"/>
        <item x="353"/>
        <item x="396"/>
        <item x="383"/>
        <item x="106"/>
        <item x="581"/>
        <item x="541"/>
        <item x="311"/>
        <item x="837"/>
        <item x="758"/>
        <item x="652"/>
        <item x="773"/>
        <item x="114"/>
        <item x="548"/>
        <item x="169"/>
        <item x="896"/>
        <item x="675"/>
        <item x="835"/>
        <item x="762"/>
        <item x="68"/>
        <item x="378"/>
        <item x="469"/>
        <item x="588"/>
        <item x="424"/>
        <item x="139"/>
        <item x="488"/>
        <item x="377"/>
        <item x="917"/>
        <item x="796"/>
        <item x="345"/>
        <item x="252"/>
        <item x="687"/>
        <item x="932"/>
        <item x="259"/>
        <item x="653"/>
        <item x="590"/>
        <item x="638"/>
        <item x="597"/>
        <item x="343"/>
        <item x="599"/>
        <item x="486"/>
        <item x="346"/>
        <item x="546"/>
        <item x="265"/>
        <item x="267"/>
        <item x="701"/>
        <item x="432"/>
        <item x="683"/>
        <item x="720"/>
        <item x="394"/>
        <item x="233"/>
        <item x="166"/>
        <item x="463"/>
        <item x="816"/>
        <item x="709"/>
        <item x="279"/>
        <item x="908"/>
        <item x="540"/>
        <item x="718"/>
        <item x="663"/>
        <item x="799"/>
        <item x="273"/>
        <item x="852"/>
        <item x="693"/>
        <item x="330"/>
        <item x="4"/>
        <item x="464"/>
        <item x="315"/>
        <item x="606"/>
        <item x="307"/>
        <item x="790"/>
        <item x="897"/>
        <item x="316"/>
        <item x="341"/>
        <item x="617"/>
        <item x="783"/>
        <item x="741"/>
        <item x="768"/>
        <item x="831"/>
        <item x="67"/>
        <item x="257"/>
        <item x="695"/>
        <item x="619"/>
        <item x="2"/>
        <item x="498"/>
        <item x="53"/>
        <item x="649"/>
        <item x="357"/>
        <item x="140"/>
        <item x="195"/>
        <item x="200"/>
        <item x="274"/>
        <item x="79"/>
        <item x="784"/>
        <item x="483"/>
        <item x="563"/>
        <item x="792"/>
        <item x="434"/>
        <item x="854"/>
        <item x="600"/>
        <item x="360"/>
        <item x="124"/>
        <item x="170"/>
        <item x="823"/>
        <item x="688"/>
        <item x="26"/>
        <item x="475"/>
        <item x="192"/>
        <item x="492"/>
        <item x="630"/>
        <item x="234"/>
        <item x="145"/>
        <item x="88"/>
        <item x="877"/>
        <item x="529"/>
        <item x="327"/>
        <item x="755"/>
        <item x="818"/>
        <item x="119"/>
        <item x="685"/>
        <item x="849"/>
        <item x="883"/>
        <item x="910"/>
        <item x="515"/>
        <item x="428"/>
        <item x="740"/>
        <item x="423"/>
        <item x="690"/>
        <item x="87"/>
        <item x="596"/>
        <item x="199"/>
        <item x="514"/>
        <item x="577"/>
        <item x="764"/>
        <item x="861"/>
        <item x="221"/>
        <item x="187"/>
        <item x="38"/>
        <item x="580"/>
        <item x="19"/>
        <item x="591"/>
        <item x="466"/>
        <item x="202"/>
        <item x="886"/>
        <item x="320"/>
        <item x="812"/>
        <item x="603"/>
        <item x="361"/>
        <item x="150"/>
        <item x="94"/>
        <item x="752"/>
        <item x="363"/>
        <item x="249"/>
        <item x="933"/>
        <item x="18"/>
        <item x="300"/>
        <item x="587"/>
        <item x="103"/>
        <item x="747"/>
        <item x="772"/>
        <item x="285"/>
        <item x="319"/>
        <item x="431"/>
        <item x="576"/>
        <item x="838"/>
        <item x="416"/>
        <item x="846"/>
        <item x="348"/>
        <item x="609"/>
        <item x="306"/>
        <item x="211"/>
        <item x="232"/>
        <item x="39"/>
        <item x="329"/>
        <item x="409"/>
        <item x="262"/>
        <item x="570"/>
        <item x="376"/>
        <item x="699"/>
        <item x="879"/>
        <item x="37"/>
        <item x="57"/>
        <item x="922"/>
        <item x="785"/>
        <item x="517"/>
        <item x="881"/>
        <item x="641"/>
        <item x="3"/>
        <item x="601"/>
        <item x="235"/>
        <item x="287"/>
        <item x="765"/>
        <item x="104"/>
        <item x="664"/>
        <item x="230"/>
        <item x="658"/>
        <item x="91"/>
        <item x="161"/>
        <item x="875"/>
        <item x="399"/>
        <item x="804"/>
        <item x="309"/>
        <item x="927"/>
        <item x="157"/>
        <item x="579"/>
        <item x="512"/>
        <item x="17"/>
        <item x="42"/>
        <item x="757"/>
        <item x="737"/>
        <item x="670"/>
        <item x="779"/>
        <item x="30"/>
        <item x="379"/>
        <item x="323"/>
        <item x="83"/>
        <item x="22"/>
        <item x="705"/>
        <item x="92"/>
        <item x="936"/>
        <item x="824"/>
        <item x="484"/>
        <item x="470"/>
        <item x="913"/>
        <item x="368"/>
        <item x="381"/>
        <item x="433"/>
        <item x="931"/>
        <item x="746"/>
        <item x="178"/>
        <item x="676"/>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7">
    <i>
      <x v="1"/>
    </i>
    <i>
      <x v="2"/>
    </i>
    <i>
      <x v="3"/>
    </i>
    <i>
      <x v="4"/>
    </i>
    <i>
      <x v="5"/>
    </i>
    <i>
      <x v="6"/>
    </i>
    <i t="grand">
      <x/>
    </i>
  </rowItems>
  <colItems count="1">
    <i/>
  </colItems>
  <dataFields count="1">
    <dataField name="Sum of Net Sales" fld="12" baseField="17" baseItem="1" numFmtId="3"/>
  </dataFields>
  <formats count="19">
    <format dxfId="3692">
      <pivotArea type="all" dataOnly="0" outline="0" fieldPosition="0"/>
    </format>
    <format dxfId="3691">
      <pivotArea outline="0" collapsedLevelsAreSubtotals="1" fieldPosition="0"/>
    </format>
    <format dxfId="3690">
      <pivotArea field="6" type="button" dataOnly="0" labelOnly="1" outline="0"/>
    </format>
    <format dxfId="3689">
      <pivotArea dataOnly="0" labelOnly="1" grandRow="1" outline="0" fieldPosition="0"/>
    </format>
    <format dxfId="3688">
      <pivotArea type="all" dataOnly="0" outline="0" fieldPosition="0"/>
    </format>
    <format dxfId="3687">
      <pivotArea outline="0" collapsedLevelsAreSubtotals="1" fieldPosition="0"/>
    </format>
    <format dxfId="3686">
      <pivotArea field="6" type="button" dataOnly="0" labelOnly="1" outline="0"/>
    </format>
    <format dxfId="3685">
      <pivotArea dataOnly="0" labelOnly="1" grandRow="1" outline="0" fieldPosition="0"/>
    </format>
    <format dxfId="3684">
      <pivotArea type="all" dataOnly="0" outline="0" fieldPosition="0"/>
    </format>
    <format dxfId="3683">
      <pivotArea outline="0" collapsedLevelsAreSubtotals="1" fieldPosition="0"/>
    </format>
    <format dxfId="3682">
      <pivotArea field="6" type="button" dataOnly="0" labelOnly="1" outline="0"/>
    </format>
    <format dxfId="3681">
      <pivotArea dataOnly="0" labelOnly="1" grandRow="1" outline="0" fieldPosition="0"/>
    </format>
    <format dxfId="3680">
      <pivotArea outline="0" fieldPosition="0">
        <references count="1">
          <reference field="4294967294" count="1">
            <x v="0"/>
          </reference>
        </references>
      </pivotArea>
    </format>
    <format dxfId="3679">
      <pivotArea type="all" dataOnly="0" outline="0" fieldPosition="0"/>
    </format>
    <format dxfId="3678">
      <pivotArea outline="0" collapsedLevelsAreSubtotals="1" fieldPosition="0"/>
    </format>
    <format dxfId="3677">
      <pivotArea field="17" type="button" dataOnly="0" labelOnly="1" outline="0" axis="axisRow" fieldPosition="0"/>
    </format>
    <format dxfId="3676">
      <pivotArea dataOnly="0" labelOnly="1" fieldPosition="0">
        <references count="1">
          <reference field="17" count="6">
            <x v="1"/>
            <x v="2"/>
            <x v="3"/>
            <x v="4"/>
            <x v="5"/>
            <x v="6"/>
          </reference>
        </references>
      </pivotArea>
    </format>
    <format dxfId="3675">
      <pivotArea dataOnly="0" labelOnly="1" grandRow="1" outline="0" fieldPosition="0"/>
    </format>
    <format dxfId="3674">
      <pivotArea dataOnly="0" labelOnly="1" outline="0" axis="axisValues" fieldPosition="0"/>
    </format>
  </formats>
  <chartFormats count="1">
    <chartFormat chart="13" format="0" series="1">
      <pivotArea type="data" outline="0" fieldPosition="0">
        <references count="1">
          <reference field="4294967294" count="1" selected="0">
            <x v="0"/>
          </reference>
        </references>
      </pivotArea>
    </chartFormat>
  </chartFormats>
  <pivotTableStyleInfo name="PivotStyleLight15"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2AA2C1-AD9F-4C6C-B3E9-36D66999161A}"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rowHeaderCaption="Product Category">
  <location ref="E14:G21" firstHeaderRow="0" firstDataRow="1" firstDataCol="1"/>
  <pivotFields count="18">
    <pivotField numFmtId="164" showAll="0">
      <items count="181">
        <item x="124"/>
        <item x="115"/>
        <item x="113"/>
        <item x="172"/>
        <item x="31"/>
        <item x="36"/>
        <item x="91"/>
        <item x="49"/>
        <item x="131"/>
        <item x="26"/>
        <item x="21"/>
        <item x="151"/>
        <item x="136"/>
        <item x="168"/>
        <item x="57"/>
        <item x="125"/>
        <item x="99"/>
        <item x="83"/>
        <item x="15"/>
        <item x="72"/>
        <item x="140"/>
        <item x="155"/>
        <item x="116"/>
        <item x="154"/>
        <item x="71"/>
        <item x="2"/>
        <item x="61"/>
        <item x="22"/>
        <item x="170"/>
        <item x="32"/>
        <item x="177"/>
        <item x="39"/>
        <item x="46"/>
        <item x="80"/>
        <item x="64"/>
        <item x="123"/>
        <item x="138"/>
        <item x="48"/>
        <item x="128"/>
        <item x="60"/>
        <item x="89"/>
        <item x="75"/>
        <item x="157"/>
        <item x="145"/>
        <item x="179"/>
        <item x="175"/>
        <item x="93"/>
        <item x="162"/>
        <item x="78"/>
        <item x="68"/>
        <item x="69"/>
        <item x="55"/>
        <item x="11"/>
        <item x="135"/>
        <item x="101"/>
        <item x="8"/>
        <item x="107"/>
        <item x="74"/>
        <item x="156"/>
        <item x="59"/>
        <item x="165"/>
        <item x="52"/>
        <item x="27"/>
        <item x="167"/>
        <item x="35"/>
        <item x="119"/>
        <item x="87"/>
        <item x="66"/>
        <item x="150"/>
        <item x="50"/>
        <item x="130"/>
        <item x="79"/>
        <item x="160"/>
        <item x="153"/>
        <item x="42"/>
        <item x="47"/>
        <item x="176"/>
        <item x="73"/>
        <item x="90"/>
        <item x="0"/>
        <item x="120"/>
        <item x="92"/>
        <item x="178"/>
        <item x="13"/>
        <item x="164"/>
        <item x="70"/>
        <item x="118"/>
        <item x="51"/>
        <item x="171"/>
        <item x="97"/>
        <item x="76"/>
        <item x="122"/>
        <item x="133"/>
        <item x="112"/>
        <item x="3"/>
        <item x="102"/>
        <item x="104"/>
        <item x="174"/>
        <item x="117"/>
        <item x="30"/>
        <item x="159"/>
        <item x="141"/>
        <item x="67"/>
        <item x="108"/>
        <item x="19"/>
        <item x="95"/>
        <item x="103"/>
        <item x="9"/>
        <item x="127"/>
        <item x="163"/>
        <item x="106"/>
        <item x="17"/>
        <item x="65"/>
        <item x="109"/>
        <item x="166"/>
        <item x="44"/>
        <item x="58"/>
        <item x="134"/>
        <item x="37"/>
        <item x="146"/>
        <item x="43"/>
        <item x="149"/>
        <item x="5"/>
        <item x="18"/>
        <item x="1"/>
        <item x="63"/>
        <item x="143"/>
        <item x="12"/>
        <item x="7"/>
        <item x="40"/>
        <item x="96"/>
        <item x="132"/>
        <item x="129"/>
        <item x="82"/>
        <item x="158"/>
        <item x="88"/>
        <item x="84"/>
        <item x="169"/>
        <item x="137"/>
        <item x="38"/>
        <item x="14"/>
        <item x="126"/>
        <item x="105"/>
        <item x="62"/>
        <item x="23"/>
        <item x="28"/>
        <item x="6"/>
        <item x="20"/>
        <item x="85"/>
        <item x="34"/>
        <item x="4"/>
        <item x="147"/>
        <item x="10"/>
        <item x="98"/>
        <item x="111"/>
        <item x="33"/>
        <item x="56"/>
        <item x="152"/>
        <item x="139"/>
        <item x="110"/>
        <item x="161"/>
        <item x="114"/>
        <item x="81"/>
        <item x="24"/>
        <item x="144"/>
        <item x="45"/>
        <item x="54"/>
        <item x="41"/>
        <item x="53"/>
        <item x="29"/>
        <item x="94"/>
        <item x="173"/>
        <item x="100"/>
        <item x="148"/>
        <item x="121"/>
        <item x="142"/>
        <item x="25"/>
        <item x="16"/>
        <item x="77"/>
        <item x="86"/>
        <item t="default"/>
      </items>
    </pivotField>
    <pivotField showAll="0"/>
    <pivotField showAll="0"/>
    <pivotField showAll="0">
      <items count="5">
        <item x="1"/>
        <item x="3"/>
        <item x="2"/>
        <item x="0"/>
        <item t="default"/>
      </items>
    </pivotField>
    <pivotField showAll="0"/>
    <pivotField showAll="0"/>
    <pivotField showAll="0">
      <items count="4">
        <item x="1"/>
        <item x="0"/>
        <item x="2"/>
        <item t="default"/>
      </items>
    </pivotField>
    <pivotField axis="axisRow" showAll="0">
      <items count="7">
        <item x="4"/>
        <item x="5"/>
        <item x="1"/>
        <item x="2"/>
        <item x="0"/>
        <item x="3"/>
        <item t="default"/>
      </items>
    </pivotField>
    <pivotField dataField="1" showAll="0"/>
    <pivotField showAll="0"/>
    <pivotField showAll="0"/>
    <pivotField showAll="0">
      <items count="558">
        <item x="285"/>
        <item x="46"/>
        <item x="125"/>
        <item x="115"/>
        <item x="396"/>
        <item x="469"/>
        <item x="337"/>
        <item x="120"/>
        <item x="402"/>
        <item x="204"/>
        <item x="246"/>
        <item x="121"/>
        <item x="342"/>
        <item x="327"/>
        <item x="94"/>
        <item x="185"/>
        <item x="323"/>
        <item x="479"/>
        <item x="25"/>
        <item x="281"/>
        <item x="556"/>
        <item x="190"/>
        <item x="423"/>
        <item x="181"/>
        <item x="253"/>
        <item x="189"/>
        <item x="155"/>
        <item x="316"/>
        <item x="439"/>
        <item x="374"/>
        <item x="212"/>
        <item x="314"/>
        <item x="292"/>
        <item x="174"/>
        <item x="100"/>
        <item x="32"/>
        <item x="154"/>
        <item x="339"/>
        <item x="44"/>
        <item x="449"/>
        <item x="184"/>
        <item x="206"/>
        <item x="305"/>
        <item x="440"/>
        <item x="380"/>
        <item x="411"/>
        <item x="43"/>
        <item x="359"/>
        <item x="71"/>
        <item x="10"/>
        <item x="194"/>
        <item x="86"/>
        <item x="196"/>
        <item x="34"/>
        <item x="428"/>
        <item x="35"/>
        <item x="230"/>
        <item x="129"/>
        <item x="47"/>
        <item x="389"/>
        <item x="552"/>
        <item x="162"/>
        <item x="242"/>
        <item x="512"/>
        <item x="353"/>
        <item x="202"/>
        <item x="436"/>
        <item x="362"/>
        <item x="93"/>
        <item x="364"/>
        <item x="31"/>
        <item x="146"/>
        <item x="357"/>
        <item x="524"/>
        <item x="158"/>
        <item x="502"/>
        <item x="148"/>
        <item x="319"/>
        <item x="163"/>
        <item x="529"/>
        <item x="548"/>
        <item x="418"/>
        <item x="39"/>
        <item x="409"/>
        <item x="213"/>
        <item x="300"/>
        <item x="417"/>
        <item x="45"/>
        <item x="477"/>
        <item x="273"/>
        <item x="448"/>
        <item x="311"/>
        <item x="105"/>
        <item x="493"/>
        <item x="265"/>
        <item x="390"/>
        <item x="61"/>
        <item x="89"/>
        <item x="166"/>
        <item x="555"/>
        <item x="397"/>
        <item x="211"/>
        <item x="182"/>
        <item x="381"/>
        <item x="358"/>
        <item x="406"/>
        <item x="282"/>
        <item x="456"/>
        <item x="79"/>
        <item x="443"/>
        <item x="544"/>
        <item x="343"/>
        <item x="63"/>
        <item x="501"/>
        <item x="475"/>
        <item x="239"/>
        <item x="484"/>
        <item x="69"/>
        <item x="467"/>
        <item x="226"/>
        <item x="138"/>
        <item x="142"/>
        <item x="122"/>
        <item x="64"/>
        <item x="474"/>
        <item x="542"/>
        <item x="119"/>
        <item x="279"/>
        <item x="424"/>
        <item x="385"/>
        <item x="543"/>
        <item x="12"/>
        <item x="361"/>
        <item x="102"/>
        <item x="504"/>
        <item x="260"/>
        <item x="482"/>
        <item x="175"/>
        <item x="525"/>
        <item x="200"/>
        <item x="150"/>
        <item x="49"/>
        <item x="56"/>
        <item x="399"/>
        <item x="301"/>
        <item x="331"/>
        <item x="60"/>
        <item x="193"/>
        <item x="547"/>
        <item x="111"/>
        <item x="128"/>
        <item x="420"/>
        <item x="144"/>
        <item x="208"/>
        <item x="97"/>
        <item x="257"/>
        <item x="476"/>
        <item x="452"/>
        <item x="298"/>
        <item x="509"/>
        <item x="183"/>
        <item x="53"/>
        <item x="429"/>
        <item x="492"/>
        <item x="438"/>
        <item x="497"/>
        <item x="540"/>
        <item x="139"/>
        <item x="322"/>
        <item x="231"/>
        <item x="506"/>
        <item x="107"/>
        <item x="135"/>
        <item x="75"/>
        <item x="20"/>
        <item x="297"/>
        <item x="77"/>
        <item x="295"/>
        <item x="223"/>
        <item x="205"/>
        <item x="11"/>
        <item x="355"/>
        <item x="113"/>
        <item x="379"/>
        <item x="136"/>
        <item x="91"/>
        <item x="330"/>
        <item x="368"/>
        <item x="59"/>
        <item x="201"/>
        <item x="486"/>
        <item x="519"/>
        <item x="237"/>
        <item x="137"/>
        <item x="401"/>
        <item x="503"/>
        <item x="458"/>
        <item x="192"/>
        <item x="170"/>
        <item x="106"/>
        <item x="450"/>
        <item x="254"/>
        <item x="472"/>
        <item x="52"/>
        <item x="332"/>
        <item x="376"/>
        <item x="478"/>
        <item x="266"/>
        <item x="341"/>
        <item x="523"/>
        <item x="216"/>
        <item x="6"/>
        <item x="50"/>
        <item x="157"/>
        <item x="191"/>
        <item x="82"/>
        <item x="0"/>
        <item x="116"/>
        <item x="14"/>
        <item x="74"/>
        <item x="243"/>
        <item x="215"/>
        <item x="7"/>
        <item x="412"/>
        <item x="366"/>
        <item x="234"/>
        <item x="537"/>
        <item x="54"/>
        <item x="249"/>
        <item x="335"/>
        <item x="187"/>
        <item x="203"/>
        <item x="156"/>
        <item x="124"/>
        <item x="545"/>
        <item x="526"/>
        <item x="392"/>
        <item x="165"/>
        <item x="405"/>
        <item x="400"/>
        <item x="470"/>
        <item x="345"/>
        <item x="427"/>
        <item x="161"/>
        <item x="164"/>
        <item x="171"/>
        <item x="302"/>
        <item x="24"/>
        <item x="481"/>
        <item x="371"/>
        <item x="515"/>
        <item x="232"/>
        <item x="433"/>
        <item x="217"/>
        <item x="336"/>
        <item x="315"/>
        <item x="103"/>
        <item x="72"/>
        <item x="143"/>
        <item x="340"/>
        <item x="432"/>
        <item x="42"/>
        <item x="57"/>
        <item x="430"/>
        <item x="495"/>
        <item x="78"/>
        <item x="123"/>
        <item x="159"/>
        <item x="310"/>
        <item x="284"/>
        <item x="328"/>
        <item x="333"/>
        <item x="133"/>
        <item x="271"/>
        <item x="307"/>
        <item x="40"/>
        <item x="236"/>
        <item x="375"/>
        <item x="140"/>
        <item x="447"/>
        <item x="222"/>
        <item x="538"/>
        <item x="8"/>
        <item x="13"/>
        <item x="81"/>
        <item x="480"/>
        <item x="363"/>
        <item x="344"/>
        <item x="29"/>
        <item x="275"/>
        <item x="73"/>
        <item x="224"/>
        <item x="287"/>
        <item x="422"/>
        <item x="286"/>
        <item x="167"/>
        <item x="67"/>
        <item x="329"/>
        <item x="169"/>
        <item x="384"/>
        <item x="435"/>
        <item x="378"/>
        <item x="407"/>
        <item x="296"/>
        <item x="348"/>
        <item x="221"/>
        <item x="445"/>
        <item x="263"/>
        <item x="131"/>
        <item x="267"/>
        <item x="471"/>
        <item x="393"/>
        <item x="259"/>
        <item x="16"/>
        <item x="15"/>
        <item x="58"/>
        <item x="118"/>
        <item x="294"/>
        <item x="457"/>
        <item x="151"/>
        <item x="530"/>
        <item x="437"/>
        <item x="534"/>
        <item x="229"/>
        <item x="172"/>
        <item x="466"/>
        <item x="186"/>
        <item x="550"/>
        <item x="520"/>
        <item x="535"/>
        <item x="218"/>
        <item x="28"/>
        <item x="517"/>
        <item x="117"/>
        <item x="522"/>
        <item x="394"/>
        <item x="312"/>
        <item x="109"/>
        <item x="188"/>
        <item x="173"/>
        <item x="48"/>
        <item x="1"/>
        <item x="280"/>
        <item x="334"/>
        <item x="360"/>
        <item x="207"/>
        <item x="464"/>
        <item x="527"/>
        <item x="510"/>
        <item x="365"/>
        <item x="539"/>
        <item x="264"/>
        <item x="546"/>
        <item x="27"/>
        <item x="114"/>
        <item x="425"/>
        <item x="318"/>
        <item x="516"/>
        <item x="491"/>
        <item x="356"/>
        <item x="241"/>
        <item x="528"/>
        <item x="33"/>
        <item x="347"/>
        <item x="350"/>
        <item x="92"/>
        <item x="387"/>
        <item x="95"/>
        <item x="338"/>
        <item x="23"/>
        <item x="147"/>
        <item x="68"/>
        <item x="83"/>
        <item x="238"/>
        <item x="180"/>
        <item x="132"/>
        <item x="227"/>
        <item x="410"/>
        <item x="308"/>
        <item x="5"/>
        <item x="500"/>
        <item x="431"/>
        <item x="373"/>
        <item x="453"/>
        <item x="532"/>
        <item x="321"/>
        <item x="110"/>
        <item x="96"/>
        <item x="299"/>
        <item x="391"/>
        <item x="21"/>
        <item x="104"/>
        <item x="9"/>
        <item x="441"/>
        <item x="250"/>
        <item x="70"/>
        <item x="62"/>
        <item x="152"/>
        <item x="304"/>
        <item x="108"/>
        <item x="514"/>
        <item x="248"/>
        <item x="454"/>
        <item x="383"/>
        <item x="178"/>
        <item x="66"/>
        <item x="274"/>
        <item x="541"/>
        <item x="460"/>
        <item x="404"/>
        <item x="247"/>
        <item x="290"/>
        <item x="507"/>
        <item x="101"/>
        <item x="289"/>
        <item x="388"/>
        <item x="269"/>
        <item x="220"/>
        <item x="354"/>
        <item x="408"/>
        <item x="549"/>
        <item x="382"/>
        <item x="473"/>
        <item x="270"/>
        <item x="521"/>
        <item x="325"/>
        <item x="210"/>
        <item x="352"/>
        <item x="126"/>
        <item x="386"/>
        <item x="459"/>
        <item x="219"/>
        <item x="468"/>
        <item x="498"/>
        <item x="442"/>
        <item x="553"/>
        <item x="419"/>
        <item x="414"/>
        <item x="149"/>
        <item x="303"/>
        <item x="197"/>
        <item x="251"/>
        <item x="268"/>
        <item x="228"/>
        <item x="4"/>
        <item x="252"/>
        <item x="65"/>
        <item x="127"/>
        <item x="51"/>
        <item x="463"/>
        <item x="426"/>
        <item x="214"/>
        <item x="351"/>
        <item x="225"/>
        <item x="465"/>
        <item x="153"/>
        <item x="395"/>
        <item x="513"/>
        <item x="76"/>
        <item x="511"/>
        <item x="261"/>
        <item x="177"/>
        <item x="276"/>
        <item x="2"/>
        <item x="198"/>
        <item x="277"/>
        <item x="349"/>
        <item x="112"/>
        <item x="130"/>
        <item x="499"/>
        <item x="461"/>
        <item x="377"/>
        <item x="487"/>
        <item x="317"/>
        <item x="370"/>
        <item x="508"/>
        <item x="85"/>
        <item x="434"/>
        <item x="320"/>
        <item x="26"/>
        <item x="37"/>
        <item x="176"/>
        <item x="483"/>
        <item x="168"/>
        <item x="84"/>
        <item x="256"/>
        <item x="462"/>
        <item x="413"/>
        <item x="489"/>
        <item x="209"/>
        <item x="18"/>
        <item x="536"/>
        <item x="278"/>
        <item x="485"/>
        <item x="369"/>
        <item x="554"/>
        <item x="19"/>
        <item x="134"/>
        <item x="240"/>
        <item x="179"/>
        <item x="313"/>
        <item x="505"/>
        <item x="346"/>
        <item x="416"/>
        <item x="262"/>
        <item x="324"/>
        <item x="98"/>
        <item x="90"/>
        <item x="309"/>
        <item x="272"/>
        <item x="421"/>
        <item x="533"/>
        <item x="233"/>
        <item x="518"/>
        <item x="496"/>
        <item x="398"/>
        <item x="255"/>
        <item x="490"/>
        <item x="55"/>
        <item x="288"/>
        <item x="244"/>
        <item x="38"/>
        <item x="235"/>
        <item x="199"/>
        <item x="444"/>
        <item x="195"/>
        <item x="372"/>
        <item x="36"/>
        <item x="99"/>
        <item x="87"/>
        <item x="551"/>
        <item x="415"/>
        <item x="3"/>
        <item x="403"/>
        <item x="306"/>
        <item x="245"/>
        <item x="145"/>
        <item x="446"/>
        <item x="488"/>
        <item x="17"/>
        <item x="41"/>
        <item x="141"/>
        <item x="531"/>
        <item x="367"/>
        <item x="258"/>
        <item x="22"/>
        <item x="451"/>
        <item x="80"/>
        <item x="88"/>
        <item x="291"/>
        <item x="30"/>
        <item x="494"/>
        <item x="293"/>
        <item x="160"/>
        <item x="326"/>
        <item x="455"/>
        <item x="283"/>
        <item t="default"/>
      </items>
    </pivotField>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7">
    <i>
      <x/>
    </i>
    <i>
      <x v="1"/>
    </i>
    <i>
      <x v="2"/>
    </i>
    <i>
      <x v="3"/>
    </i>
    <i>
      <x v="4"/>
    </i>
    <i>
      <x v="5"/>
    </i>
    <i t="grand">
      <x/>
    </i>
  </rowItems>
  <colFields count="1">
    <field x="-2"/>
  </colFields>
  <colItems count="2">
    <i>
      <x/>
    </i>
    <i i="1">
      <x v="1"/>
    </i>
  </colItems>
  <dataFields count="2">
    <dataField name="Sum of Net Sales" fld="12" baseField="0" baseItem="0"/>
    <dataField name="Sum of Units Sold" fld="8" baseField="0" baseItem="0"/>
  </dataFields>
  <formats count="21">
    <format dxfId="3713">
      <pivotArea type="all" dataOnly="0" outline="0" fieldPosition="0"/>
    </format>
    <format dxfId="3712">
      <pivotArea outline="0" collapsedLevelsAreSubtotals="1" fieldPosition="0"/>
    </format>
    <format dxfId="3711">
      <pivotArea field="6" type="button" dataOnly="0" labelOnly="1" outline="0"/>
    </format>
    <format dxfId="3710">
      <pivotArea dataOnly="0" labelOnly="1" grandRow="1" outline="0" fieldPosition="0"/>
    </format>
    <format dxfId="3709">
      <pivotArea dataOnly="0" labelOnly="1" outline="0" fieldPosition="0">
        <references count="1">
          <reference field="4294967294" count="1">
            <x v="0"/>
          </reference>
        </references>
      </pivotArea>
    </format>
    <format dxfId="3708">
      <pivotArea type="all" dataOnly="0" outline="0" fieldPosition="0"/>
    </format>
    <format dxfId="3707">
      <pivotArea outline="0" collapsedLevelsAreSubtotals="1" fieldPosition="0"/>
    </format>
    <format dxfId="3706">
      <pivotArea field="6" type="button" dataOnly="0" labelOnly="1" outline="0"/>
    </format>
    <format dxfId="3705">
      <pivotArea dataOnly="0" labelOnly="1" grandRow="1" outline="0" fieldPosition="0"/>
    </format>
    <format dxfId="3704">
      <pivotArea dataOnly="0" labelOnly="1" outline="0" fieldPosition="0">
        <references count="1">
          <reference field="4294967294" count="1">
            <x v="0"/>
          </reference>
        </references>
      </pivotArea>
    </format>
    <format dxfId="3703">
      <pivotArea type="all" dataOnly="0" outline="0" fieldPosition="0"/>
    </format>
    <format dxfId="3702">
      <pivotArea outline="0" collapsedLevelsAreSubtotals="1" fieldPosition="0"/>
    </format>
    <format dxfId="3701">
      <pivotArea field="6" type="button" dataOnly="0" labelOnly="1" outline="0"/>
    </format>
    <format dxfId="3700">
      <pivotArea dataOnly="0" labelOnly="1" grandRow="1" outline="0" fieldPosition="0"/>
    </format>
    <format dxfId="3699">
      <pivotArea dataOnly="0" labelOnly="1" outline="0" fieldPosition="0">
        <references count="1">
          <reference field="4294967294" count="1">
            <x v="0"/>
          </reference>
        </references>
      </pivotArea>
    </format>
    <format dxfId="3698">
      <pivotArea type="all" dataOnly="0" outline="0" fieldPosition="0"/>
    </format>
    <format dxfId="3697">
      <pivotArea outline="0" collapsedLevelsAreSubtotals="1" fieldPosition="0"/>
    </format>
    <format dxfId="3696">
      <pivotArea field="7" type="button" dataOnly="0" labelOnly="1" outline="0" axis="axisRow" fieldPosition="0"/>
    </format>
    <format dxfId="3695">
      <pivotArea dataOnly="0" labelOnly="1" fieldPosition="0">
        <references count="1">
          <reference field="7" count="0"/>
        </references>
      </pivotArea>
    </format>
    <format dxfId="3694">
      <pivotArea dataOnly="0" labelOnly="1" grandRow="1" outline="0" fieldPosition="0"/>
    </format>
    <format dxfId="3693">
      <pivotArea dataOnly="0" labelOnly="1" outline="0" fieldPosition="0">
        <references count="1">
          <reference field="4294967294" count="2">
            <x v="0"/>
            <x v="1"/>
          </reference>
        </references>
      </pivotArea>
    </format>
  </formats>
  <chartFormats count="4">
    <chartFormat chart="8"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s>
  <pivotTableStyleInfo name="PivotStyleLight15"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7C309B-7531-4FD6-9CB0-3022B68D761C}"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Product Category">
  <location ref="P14:Q17" firstHeaderRow="1" firstDataRow="1" firstDataCol="1"/>
  <pivotFields count="18">
    <pivotField numFmtId="164" showAll="0">
      <items count="181">
        <item x="124"/>
        <item x="115"/>
        <item x="113"/>
        <item x="172"/>
        <item x="31"/>
        <item x="36"/>
        <item x="91"/>
        <item x="49"/>
        <item x="131"/>
        <item x="26"/>
        <item x="21"/>
        <item x="151"/>
        <item x="136"/>
        <item x="168"/>
        <item x="57"/>
        <item x="125"/>
        <item x="99"/>
        <item x="83"/>
        <item x="15"/>
        <item x="72"/>
        <item x="140"/>
        <item x="155"/>
        <item x="116"/>
        <item x="154"/>
        <item x="71"/>
        <item x="2"/>
        <item x="61"/>
        <item x="22"/>
        <item x="170"/>
        <item x="32"/>
        <item x="177"/>
        <item x="39"/>
        <item x="46"/>
        <item x="80"/>
        <item x="64"/>
        <item x="123"/>
        <item x="138"/>
        <item x="48"/>
        <item x="128"/>
        <item x="60"/>
        <item x="89"/>
        <item x="75"/>
        <item x="157"/>
        <item x="145"/>
        <item x="179"/>
        <item x="175"/>
        <item x="93"/>
        <item x="162"/>
        <item x="78"/>
        <item x="68"/>
        <item x="69"/>
        <item x="55"/>
        <item x="11"/>
        <item x="135"/>
        <item x="101"/>
        <item x="8"/>
        <item x="107"/>
        <item x="74"/>
        <item x="156"/>
        <item x="59"/>
        <item x="165"/>
        <item x="52"/>
        <item x="27"/>
        <item x="167"/>
        <item x="35"/>
        <item x="119"/>
        <item x="87"/>
        <item x="66"/>
        <item x="150"/>
        <item x="50"/>
        <item x="130"/>
        <item x="79"/>
        <item x="160"/>
        <item x="153"/>
        <item x="42"/>
        <item x="47"/>
        <item x="176"/>
        <item x="73"/>
        <item x="90"/>
        <item x="0"/>
        <item x="120"/>
        <item x="92"/>
        <item x="178"/>
        <item x="13"/>
        <item x="164"/>
        <item x="70"/>
        <item x="118"/>
        <item x="51"/>
        <item x="171"/>
        <item x="97"/>
        <item x="76"/>
        <item x="122"/>
        <item x="133"/>
        <item x="112"/>
        <item x="3"/>
        <item x="102"/>
        <item x="104"/>
        <item x="174"/>
        <item x="117"/>
        <item x="30"/>
        <item x="159"/>
        <item x="141"/>
        <item x="67"/>
        <item x="108"/>
        <item x="19"/>
        <item x="95"/>
        <item x="103"/>
        <item x="9"/>
        <item x="127"/>
        <item x="163"/>
        <item x="106"/>
        <item x="17"/>
        <item x="65"/>
        <item x="109"/>
        <item x="166"/>
        <item x="44"/>
        <item x="58"/>
        <item x="134"/>
        <item x="37"/>
        <item x="146"/>
        <item x="43"/>
        <item x="149"/>
        <item x="5"/>
        <item x="18"/>
        <item x="1"/>
        <item x="63"/>
        <item x="143"/>
        <item x="12"/>
        <item x="7"/>
        <item x="40"/>
        <item x="96"/>
        <item x="132"/>
        <item x="129"/>
        <item x="82"/>
        <item x="158"/>
        <item x="88"/>
        <item x="84"/>
        <item x="169"/>
        <item x="137"/>
        <item x="38"/>
        <item x="14"/>
        <item x="126"/>
        <item x="105"/>
        <item x="62"/>
        <item x="23"/>
        <item x="28"/>
        <item x="6"/>
        <item x="20"/>
        <item x="85"/>
        <item x="34"/>
        <item x="4"/>
        <item x="147"/>
        <item x="10"/>
        <item x="98"/>
        <item x="111"/>
        <item x="33"/>
        <item x="56"/>
        <item x="152"/>
        <item x="139"/>
        <item x="110"/>
        <item x="161"/>
        <item x="114"/>
        <item x="81"/>
        <item x="24"/>
        <item x="144"/>
        <item x="45"/>
        <item x="54"/>
        <item x="41"/>
        <item x="53"/>
        <item x="29"/>
        <item x="94"/>
        <item x="173"/>
        <item x="100"/>
        <item x="148"/>
        <item x="121"/>
        <item x="142"/>
        <item x="25"/>
        <item x="16"/>
        <item x="77"/>
        <item x="86"/>
        <item t="default"/>
      </items>
    </pivotField>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7">
        <item x="2"/>
        <item x="4"/>
        <item x="3"/>
        <item x="5"/>
        <item x="1"/>
        <item x="0"/>
        <item t="default"/>
      </items>
    </pivotField>
    <pivotField showAll="0">
      <items count="5">
        <item x="1"/>
        <item x="3"/>
        <item x="2"/>
        <item x="0"/>
        <item t="default"/>
      </items>
    </pivotField>
    <pivotField showAll="0"/>
    <pivotField showAll="0"/>
    <pivotField showAll="0">
      <items count="4">
        <item x="1"/>
        <item x="0"/>
        <item x="2"/>
        <item t="default"/>
      </items>
    </pivotField>
    <pivotField showAll="0">
      <items count="7">
        <item x="4"/>
        <item x="5"/>
        <item x="1"/>
        <item x="2"/>
        <item x="0"/>
        <item x="3"/>
        <item t="default"/>
      </items>
    </pivotField>
    <pivotField showAll="0"/>
    <pivotField showAll="0"/>
    <pivotField showAll="0"/>
    <pivotField showAll="0">
      <items count="558">
        <item x="285"/>
        <item x="46"/>
        <item x="125"/>
        <item x="115"/>
        <item x="396"/>
        <item x="469"/>
        <item x="337"/>
        <item x="120"/>
        <item x="402"/>
        <item x="204"/>
        <item x="246"/>
        <item x="121"/>
        <item x="342"/>
        <item x="327"/>
        <item x="94"/>
        <item x="185"/>
        <item x="323"/>
        <item x="479"/>
        <item x="25"/>
        <item x="281"/>
        <item x="556"/>
        <item x="190"/>
        <item x="423"/>
        <item x="181"/>
        <item x="253"/>
        <item x="189"/>
        <item x="155"/>
        <item x="316"/>
        <item x="439"/>
        <item x="374"/>
        <item x="212"/>
        <item x="314"/>
        <item x="292"/>
        <item x="174"/>
        <item x="100"/>
        <item x="32"/>
        <item x="154"/>
        <item x="339"/>
        <item x="44"/>
        <item x="449"/>
        <item x="184"/>
        <item x="206"/>
        <item x="305"/>
        <item x="440"/>
        <item x="380"/>
        <item x="411"/>
        <item x="43"/>
        <item x="359"/>
        <item x="71"/>
        <item x="10"/>
        <item x="194"/>
        <item x="86"/>
        <item x="196"/>
        <item x="34"/>
        <item x="428"/>
        <item x="35"/>
        <item x="230"/>
        <item x="129"/>
        <item x="47"/>
        <item x="389"/>
        <item x="552"/>
        <item x="162"/>
        <item x="242"/>
        <item x="512"/>
        <item x="353"/>
        <item x="202"/>
        <item x="436"/>
        <item x="362"/>
        <item x="93"/>
        <item x="364"/>
        <item x="31"/>
        <item x="146"/>
        <item x="357"/>
        <item x="524"/>
        <item x="158"/>
        <item x="502"/>
        <item x="148"/>
        <item x="319"/>
        <item x="163"/>
        <item x="529"/>
        <item x="548"/>
        <item x="418"/>
        <item x="39"/>
        <item x="409"/>
        <item x="213"/>
        <item x="300"/>
        <item x="417"/>
        <item x="45"/>
        <item x="477"/>
        <item x="273"/>
        <item x="448"/>
        <item x="311"/>
        <item x="105"/>
        <item x="493"/>
        <item x="265"/>
        <item x="390"/>
        <item x="61"/>
        <item x="89"/>
        <item x="166"/>
        <item x="555"/>
        <item x="397"/>
        <item x="211"/>
        <item x="182"/>
        <item x="381"/>
        <item x="358"/>
        <item x="406"/>
        <item x="282"/>
        <item x="456"/>
        <item x="79"/>
        <item x="443"/>
        <item x="544"/>
        <item x="343"/>
        <item x="63"/>
        <item x="501"/>
        <item x="475"/>
        <item x="239"/>
        <item x="484"/>
        <item x="69"/>
        <item x="467"/>
        <item x="226"/>
        <item x="138"/>
        <item x="142"/>
        <item x="122"/>
        <item x="64"/>
        <item x="474"/>
        <item x="542"/>
        <item x="119"/>
        <item x="279"/>
        <item x="424"/>
        <item x="385"/>
        <item x="543"/>
        <item x="12"/>
        <item x="361"/>
        <item x="102"/>
        <item x="504"/>
        <item x="260"/>
        <item x="482"/>
        <item x="175"/>
        <item x="525"/>
        <item x="200"/>
        <item x="150"/>
        <item x="49"/>
        <item x="56"/>
        <item x="399"/>
        <item x="301"/>
        <item x="331"/>
        <item x="60"/>
        <item x="193"/>
        <item x="547"/>
        <item x="111"/>
        <item x="128"/>
        <item x="420"/>
        <item x="144"/>
        <item x="208"/>
        <item x="97"/>
        <item x="257"/>
        <item x="476"/>
        <item x="452"/>
        <item x="298"/>
        <item x="509"/>
        <item x="183"/>
        <item x="53"/>
        <item x="429"/>
        <item x="492"/>
        <item x="438"/>
        <item x="497"/>
        <item x="540"/>
        <item x="139"/>
        <item x="322"/>
        <item x="231"/>
        <item x="506"/>
        <item x="107"/>
        <item x="135"/>
        <item x="75"/>
        <item x="20"/>
        <item x="297"/>
        <item x="77"/>
        <item x="295"/>
        <item x="223"/>
        <item x="205"/>
        <item x="11"/>
        <item x="355"/>
        <item x="113"/>
        <item x="379"/>
        <item x="136"/>
        <item x="91"/>
        <item x="330"/>
        <item x="368"/>
        <item x="59"/>
        <item x="201"/>
        <item x="486"/>
        <item x="519"/>
        <item x="237"/>
        <item x="137"/>
        <item x="401"/>
        <item x="503"/>
        <item x="458"/>
        <item x="192"/>
        <item x="170"/>
        <item x="106"/>
        <item x="450"/>
        <item x="254"/>
        <item x="472"/>
        <item x="52"/>
        <item x="332"/>
        <item x="376"/>
        <item x="478"/>
        <item x="266"/>
        <item x="341"/>
        <item x="523"/>
        <item x="216"/>
        <item x="6"/>
        <item x="50"/>
        <item x="157"/>
        <item x="191"/>
        <item x="82"/>
        <item x="0"/>
        <item x="116"/>
        <item x="14"/>
        <item x="74"/>
        <item x="243"/>
        <item x="215"/>
        <item x="7"/>
        <item x="412"/>
        <item x="366"/>
        <item x="234"/>
        <item x="537"/>
        <item x="54"/>
        <item x="249"/>
        <item x="335"/>
        <item x="187"/>
        <item x="203"/>
        <item x="156"/>
        <item x="124"/>
        <item x="545"/>
        <item x="526"/>
        <item x="392"/>
        <item x="165"/>
        <item x="405"/>
        <item x="400"/>
        <item x="470"/>
        <item x="345"/>
        <item x="427"/>
        <item x="161"/>
        <item x="164"/>
        <item x="171"/>
        <item x="302"/>
        <item x="24"/>
        <item x="481"/>
        <item x="371"/>
        <item x="515"/>
        <item x="232"/>
        <item x="433"/>
        <item x="217"/>
        <item x="336"/>
        <item x="315"/>
        <item x="103"/>
        <item x="72"/>
        <item x="143"/>
        <item x="340"/>
        <item x="432"/>
        <item x="42"/>
        <item x="57"/>
        <item x="430"/>
        <item x="495"/>
        <item x="78"/>
        <item x="123"/>
        <item x="159"/>
        <item x="310"/>
        <item x="284"/>
        <item x="328"/>
        <item x="333"/>
        <item x="133"/>
        <item x="271"/>
        <item x="307"/>
        <item x="40"/>
        <item x="236"/>
        <item x="375"/>
        <item x="140"/>
        <item x="447"/>
        <item x="222"/>
        <item x="538"/>
        <item x="8"/>
        <item x="13"/>
        <item x="81"/>
        <item x="480"/>
        <item x="363"/>
        <item x="344"/>
        <item x="29"/>
        <item x="275"/>
        <item x="73"/>
        <item x="224"/>
        <item x="287"/>
        <item x="422"/>
        <item x="286"/>
        <item x="167"/>
        <item x="67"/>
        <item x="329"/>
        <item x="169"/>
        <item x="384"/>
        <item x="435"/>
        <item x="378"/>
        <item x="407"/>
        <item x="296"/>
        <item x="348"/>
        <item x="221"/>
        <item x="445"/>
        <item x="263"/>
        <item x="131"/>
        <item x="267"/>
        <item x="471"/>
        <item x="393"/>
        <item x="259"/>
        <item x="16"/>
        <item x="15"/>
        <item x="58"/>
        <item x="118"/>
        <item x="294"/>
        <item x="457"/>
        <item x="151"/>
        <item x="530"/>
        <item x="437"/>
        <item x="534"/>
        <item x="229"/>
        <item x="172"/>
        <item x="466"/>
        <item x="186"/>
        <item x="550"/>
        <item x="520"/>
        <item x="535"/>
        <item x="218"/>
        <item x="28"/>
        <item x="517"/>
        <item x="117"/>
        <item x="522"/>
        <item x="394"/>
        <item x="312"/>
        <item x="109"/>
        <item x="188"/>
        <item x="173"/>
        <item x="48"/>
        <item x="1"/>
        <item x="280"/>
        <item x="334"/>
        <item x="360"/>
        <item x="207"/>
        <item x="464"/>
        <item x="527"/>
        <item x="510"/>
        <item x="365"/>
        <item x="539"/>
        <item x="264"/>
        <item x="546"/>
        <item x="27"/>
        <item x="114"/>
        <item x="425"/>
        <item x="318"/>
        <item x="516"/>
        <item x="491"/>
        <item x="356"/>
        <item x="241"/>
        <item x="528"/>
        <item x="33"/>
        <item x="347"/>
        <item x="350"/>
        <item x="92"/>
        <item x="387"/>
        <item x="95"/>
        <item x="338"/>
        <item x="23"/>
        <item x="147"/>
        <item x="68"/>
        <item x="83"/>
        <item x="238"/>
        <item x="180"/>
        <item x="132"/>
        <item x="227"/>
        <item x="410"/>
        <item x="308"/>
        <item x="5"/>
        <item x="500"/>
        <item x="431"/>
        <item x="373"/>
        <item x="453"/>
        <item x="532"/>
        <item x="321"/>
        <item x="110"/>
        <item x="96"/>
        <item x="299"/>
        <item x="391"/>
        <item x="21"/>
        <item x="104"/>
        <item x="9"/>
        <item x="441"/>
        <item x="250"/>
        <item x="70"/>
        <item x="62"/>
        <item x="152"/>
        <item x="304"/>
        <item x="108"/>
        <item x="514"/>
        <item x="248"/>
        <item x="454"/>
        <item x="383"/>
        <item x="178"/>
        <item x="66"/>
        <item x="274"/>
        <item x="541"/>
        <item x="460"/>
        <item x="404"/>
        <item x="247"/>
        <item x="290"/>
        <item x="507"/>
        <item x="101"/>
        <item x="289"/>
        <item x="388"/>
        <item x="269"/>
        <item x="220"/>
        <item x="354"/>
        <item x="408"/>
        <item x="549"/>
        <item x="382"/>
        <item x="473"/>
        <item x="270"/>
        <item x="521"/>
        <item x="325"/>
        <item x="210"/>
        <item x="352"/>
        <item x="126"/>
        <item x="386"/>
        <item x="459"/>
        <item x="219"/>
        <item x="468"/>
        <item x="498"/>
        <item x="442"/>
        <item x="553"/>
        <item x="419"/>
        <item x="414"/>
        <item x="149"/>
        <item x="303"/>
        <item x="197"/>
        <item x="251"/>
        <item x="268"/>
        <item x="228"/>
        <item x="4"/>
        <item x="252"/>
        <item x="65"/>
        <item x="127"/>
        <item x="51"/>
        <item x="463"/>
        <item x="426"/>
        <item x="214"/>
        <item x="351"/>
        <item x="225"/>
        <item x="465"/>
        <item x="153"/>
        <item x="395"/>
        <item x="513"/>
        <item x="76"/>
        <item x="511"/>
        <item x="261"/>
        <item x="177"/>
        <item x="276"/>
        <item x="2"/>
        <item x="198"/>
        <item x="277"/>
        <item x="349"/>
        <item x="112"/>
        <item x="130"/>
        <item x="499"/>
        <item x="461"/>
        <item x="377"/>
        <item x="487"/>
        <item x="317"/>
        <item x="370"/>
        <item x="508"/>
        <item x="85"/>
        <item x="434"/>
        <item x="320"/>
        <item x="26"/>
        <item x="37"/>
        <item x="176"/>
        <item x="483"/>
        <item x="168"/>
        <item x="84"/>
        <item x="256"/>
        <item x="462"/>
        <item x="413"/>
        <item x="489"/>
        <item x="209"/>
        <item x="18"/>
        <item x="536"/>
        <item x="278"/>
        <item x="485"/>
        <item x="369"/>
        <item x="554"/>
        <item x="19"/>
        <item x="134"/>
        <item x="240"/>
        <item x="179"/>
        <item x="313"/>
        <item x="505"/>
        <item x="346"/>
        <item x="416"/>
        <item x="262"/>
        <item x="324"/>
        <item x="98"/>
        <item x="90"/>
        <item x="309"/>
        <item x="272"/>
        <item x="421"/>
        <item x="533"/>
        <item x="233"/>
        <item x="518"/>
        <item x="496"/>
        <item x="398"/>
        <item x="255"/>
        <item x="490"/>
        <item x="55"/>
        <item x="288"/>
        <item x="244"/>
        <item x="38"/>
        <item x="235"/>
        <item x="199"/>
        <item x="444"/>
        <item x="195"/>
        <item x="372"/>
        <item x="36"/>
        <item x="99"/>
        <item x="87"/>
        <item x="551"/>
        <item x="415"/>
        <item x="3"/>
        <item x="403"/>
        <item x="306"/>
        <item x="245"/>
        <item x="145"/>
        <item x="446"/>
        <item x="488"/>
        <item x="17"/>
        <item x="41"/>
        <item x="141"/>
        <item x="531"/>
        <item x="367"/>
        <item x="258"/>
        <item x="22"/>
        <item x="451"/>
        <item x="80"/>
        <item x="88"/>
        <item x="291"/>
        <item x="30"/>
        <item x="494"/>
        <item x="293"/>
        <item x="160"/>
        <item x="326"/>
        <item x="455"/>
        <item x="283"/>
        <item t="default"/>
      </items>
    </pivotField>
    <pivotField dataField="1" showAll="0">
      <items count="940">
        <item x="866"/>
        <item x="372"/>
        <item x="47"/>
        <item x="203"/>
        <item x="226"/>
        <item x="138"/>
        <item x="123"/>
        <item x="283"/>
        <item x="565"/>
        <item x="455"/>
        <item x="710"/>
        <item x="131"/>
        <item x="578"/>
        <item x="301"/>
        <item x="241"/>
        <item x="146"/>
        <item x="310"/>
        <item x="749"/>
        <item x="133"/>
        <item x="460"/>
        <item x="438"/>
        <item x="543"/>
        <item x="801"/>
        <item x="98"/>
        <item x="443"/>
        <item x="732"/>
        <item x="328"/>
        <item x="130"/>
        <item x="210"/>
        <item x="938"/>
        <item x="446"/>
        <item x="524"/>
        <item x="365"/>
        <item x="430"/>
        <item x="25"/>
        <item x="766"/>
        <item x="371"/>
        <item x="935"/>
        <item x="636"/>
        <item x="756"/>
        <item x="393"/>
        <item x="729"/>
        <item x="815"/>
        <item x="172"/>
        <item x="218"/>
        <item x="317"/>
        <item x="205"/>
        <item x="820"/>
        <item x="724"/>
        <item x="217"/>
        <item x="437"/>
        <item x="612"/>
        <item x="420"/>
        <item x="523"/>
        <item x="254"/>
        <item x="246"/>
        <item x="105"/>
        <item x="32"/>
        <item x="401"/>
        <item x="828"/>
        <item x="171"/>
        <item x="646"/>
        <item x="417"/>
        <item x="197"/>
        <item x="404"/>
        <item x="380"/>
        <item x="640"/>
        <item x="715"/>
        <item x="594"/>
        <item x="496"/>
        <item x="457"/>
        <item x="777"/>
        <item x="904"/>
        <item x="667"/>
        <item x="797"/>
        <item x="651"/>
        <item x="759"/>
        <item x="45"/>
        <item x="859"/>
        <item x="245"/>
        <item x="398"/>
        <item x="209"/>
        <item x="122"/>
        <item x="74"/>
        <item x="275"/>
        <item x="825"/>
        <item x="89"/>
        <item x="535"/>
        <item x="593"/>
        <item x="231"/>
        <item x="288"/>
        <item x="228"/>
        <item x="403"/>
        <item x="10"/>
        <item x="499"/>
        <item x="102"/>
        <item x="798"/>
        <item x="789"/>
        <item x="35"/>
        <item x="44"/>
        <item x="829"/>
        <item x="753"/>
        <item x="281"/>
        <item x="36"/>
        <item x="635"/>
        <item x="373"/>
        <item x="522"/>
        <item x="269"/>
        <item x="489"/>
        <item x="549"/>
        <item x="478"/>
        <item x="621"/>
        <item x="303"/>
        <item x="930"/>
        <item x="180"/>
        <item x="48"/>
        <item x="142"/>
        <item x="822"/>
        <item x="834"/>
        <item x="487"/>
        <item x="916"/>
        <item x="817"/>
        <item x="805"/>
        <item x="892"/>
        <item x="545"/>
        <item x="238"/>
        <item x="634"/>
        <item x="826"/>
        <item x="97"/>
        <item x="706"/>
        <item x="206"/>
        <item x="427"/>
        <item x="868"/>
        <item x="745"/>
        <item x="519"/>
        <item x="873"/>
        <item x="504"/>
        <item x="763"/>
        <item x="480"/>
        <item x="31"/>
        <item x="162"/>
        <item x="508"/>
        <item x="165"/>
        <item x="807"/>
        <item x="907"/>
        <item x="436"/>
        <item x="295"/>
        <item x="493"/>
        <item x="40"/>
        <item x="352"/>
        <item x="136"/>
        <item x="605"/>
        <item x="175"/>
        <item x="728"/>
        <item x="680"/>
        <item x="714"/>
        <item x="786"/>
        <item x="391"/>
        <item x="289"/>
        <item x="46"/>
        <item x="414"/>
        <item x="110"/>
        <item x="865"/>
        <item x="915"/>
        <item x="550"/>
        <item x="181"/>
        <item x="369"/>
        <item x="686"/>
        <item x="608"/>
        <item x="850"/>
        <item x="335"/>
        <item x="255"/>
        <item x="90"/>
        <item x="589"/>
        <item x="351"/>
        <item x="253"/>
        <item x="184"/>
        <item x="395"/>
        <item x="604"/>
        <item x="207"/>
        <item x="776"/>
        <item x="569"/>
        <item x="582"/>
        <item x="585"/>
        <item x="367"/>
        <item x="666"/>
        <item x="833"/>
        <item x="856"/>
        <item x="334"/>
        <item x="63"/>
        <item x="553"/>
        <item x="536"/>
        <item x="769"/>
        <item x="806"/>
        <item x="656"/>
        <item x="435"/>
        <item x="906"/>
        <item x="93"/>
        <item x="717"/>
        <item x="730"/>
        <item x="154"/>
        <item x="744"/>
        <item x="742"/>
        <item x="672"/>
        <item x="494"/>
        <item x="134"/>
        <item x="461"/>
        <item x="739"/>
        <item x="250"/>
        <item x="708"/>
        <item x="65"/>
        <item x="82"/>
        <item x="722"/>
        <item x="677"/>
        <item x="923"/>
        <item x="926"/>
        <item x="876"/>
        <item x="66"/>
        <item x="384"/>
        <item x="308"/>
        <item x="256"/>
        <item x="631"/>
        <item x="905"/>
        <item x="338"/>
        <item x="128"/>
        <item x="296"/>
        <item x="567"/>
        <item x="929"/>
        <item x="707"/>
        <item x="794"/>
        <item x="902"/>
        <item x="397"/>
        <item x="623"/>
        <item x="72"/>
        <item x="613"/>
        <item x="224"/>
        <item x="421"/>
        <item x="809"/>
        <item x="276"/>
        <item x="177"/>
        <item x="158"/>
        <item x="497"/>
        <item x="362"/>
        <item x="242"/>
        <item x="898"/>
        <item x="107"/>
        <item x="236"/>
        <item x="214"/>
        <item x="721"/>
        <item x="703"/>
        <item x="325"/>
        <item x="402"/>
        <item x="58"/>
        <item x="736"/>
        <item x="544"/>
        <item x="573"/>
        <item x="743"/>
        <item x="299"/>
        <item x="366"/>
        <item x="117"/>
        <item x="12"/>
        <item x="502"/>
        <item x="445"/>
        <item x="869"/>
        <item x="647"/>
        <item x="615"/>
        <item x="692"/>
        <item x="793"/>
        <item x="342"/>
        <item x="832"/>
        <item x="682"/>
        <item x="761"/>
        <item x="198"/>
        <item x="392"/>
        <item x="518"/>
        <item x="684"/>
        <item x="321"/>
        <item x="388"/>
        <item x="857"/>
        <item x="482"/>
        <item x="141"/>
        <item x="723"/>
        <item x="760"/>
        <item x="495"/>
        <item x="227"/>
        <item x="101"/>
        <item x="167"/>
        <item x="607"/>
        <item x="610"/>
        <item x="572"/>
        <item x="55"/>
        <item x="51"/>
        <item x="506"/>
        <item x="618"/>
        <item x="819"/>
        <item x="358"/>
        <item x="413"/>
        <item x="914"/>
        <item x="471"/>
        <item x="644"/>
        <item x="113"/>
        <item x="62"/>
        <item x="160"/>
        <item x="208"/>
        <item x="788"/>
        <item x="78"/>
        <item x="215"/>
        <item x="248"/>
        <item x="143"/>
        <item x="650"/>
        <item x="538"/>
        <item x="359"/>
        <item x="787"/>
        <item x="20"/>
        <item x="554"/>
        <item x="669"/>
        <item x="893"/>
        <item x="622"/>
        <item x="385"/>
        <item x="454"/>
        <item x="80"/>
        <item x="151"/>
        <item x="155"/>
        <item x="271"/>
        <item x="654"/>
        <item x="490"/>
        <item x="791"/>
        <item x="661"/>
        <item x="95"/>
        <item x="645"/>
        <item x="775"/>
        <item x="61"/>
        <item x="11"/>
        <item x="841"/>
        <item x="485"/>
        <item x="533"/>
        <item x="237"/>
        <item x="513"/>
        <item x="748"/>
        <item x="120"/>
        <item x="862"/>
        <item x="552"/>
        <item x="118"/>
        <item x="243"/>
        <item x="429"/>
        <item x="802"/>
        <item x="813"/>
        <item x="153"/>
        <item x="855"/>
        <item x="716"/>
        <item x="282"/>
        <item x="503"/>
        <item x="847"/>
        <item x="354"/>
        <item x="681"/>
        <item x="895"/>
        <item x="190"/>
        <item x="326"/>
        <item x="624"/>
        <item x="614"/>
        <item x="277"/>
        <item x="851"/>
        <item x="780"/>
        <item x="668"/>
        <item x="731"/>
        <item x="387"/>
        <item x="842"/>
        <item x="673"/>
        <item x="911"/>
        <item x="734"/>
        <item x="223"/>
        <item x="152"/>
        <item x="637"/>
        <item x="774"/>
        <item x="528"/>
        <item x="555"/>
        <item x="111"/>
        <item x="260"/>
        <item x="447"/>
        <item x="318"/>
        <item x="292"/>
        <item x="575"/>
        <item x="444"/>
        <item x="174"/>
        <item x="6"/>
        <item x="727"/>
        <item x="129"/>
        <item x="244"/>
        <item x="71"/>
        <item x="251"/>
        <item x="186"/>
        <item x="867"/>
        <item x="595"/>
        <item x="858"/>
        <item x="751"/>
        <item x="678"/>
        <item x="422"/>
        <item x="258"/>
        <item x="132"/>
        <item x="583"/>
        <item x="627"/>
        <item x="7"/>
        <item x="568"/>
        <item x="473"/>
        <item x="54"/>
        <item x="459"/>
        <item x="286"/>
        <item x="808"/>
        <item x="14"/>
        <item x="452"/>
        <item x="659"/>
        <item x="919"/>
        <item x="632"/>
        <item x="909"/>
        <item x="219"/>
        <item x="827"/>
        <item x="472"/>
        <item x="639"/>
        <item x="350"/>
        <item x="336"/>
        <item x="918"/>
        <item x="339"/>
        <item x="77"/>
        <item x="711"/>
        <item x="0"/>
        <item x="213"/>
        <item x="125"/>
        <item x="900"/>
        <item x="304"/>
        <item x="924"/>
        <item x="689"/>
        <item x="52"/>
        <item x="24"/>
        <item x="191"/>
        <item x="179"/>
        <item x="85"/>
        <item x="719"/>
        <item x="584"/>
        <item x="183"/>
        <item x="333"/>
        <item x="671"/>
        <item x="511"/>
        <item x="137"/>
        <item x="574"/>
        <item x="239"/>
        <item x="888"/>
        <item x="735"/>
        <item x="476"/>
        <item x="220"/>
        <item x="189"/>
        <item x="56"/>
        <item x="516"/>
        <item x="411"/>
        <item x="551"/>
        <item x="559"/>
        <item x="344"/>
        <item x="839"/>
        <item x="313"/>
        <item x="863"/>
        <item x="655"/>
        <item x="598"/>
        <item x="194"/>
        <item x="298"/>
        <item x="173"/>
        <item x="770"/>
        <item x="418"/>
        <item x="534"/>
        <item x="712"/>
        <item x="629"/>
        <item x="781"/>
        <item x="870"/>
        <item x="261"/>
        <item x="284"/>
        <item x="509"/>
        <item x="620"/>
        <item x="75"/>
        <item x="222"/>
        <item x="322"/>
        <item x="458"/>
        <item x="112"/>
        <item x="451"/>
        <item x="571"/>
        <item x="465"/>
        <item x="182"/>
        <item x="880"/>
        <item x="293"/>
        <item x="453"/>
        <item x="903"/>
        <item x="564"/>
        <item x="407"/>
        <item x="108"/>
        <item x="750"/>
        <item x="530"/>
        <item x="290"/>
        <item x="665"/>
        <item x="726"/>
        <item x="156"/>
        <item x="462"/>
        <item x="556"/>
        <item x="8"/>
        <item x="810"/>
        <item x="782"/>
        <item x="625"/>
        <item x="439"/>
        <item x="263"/>
        <item x="525"/>
        <item x="29"/>
        <item x="43"/>
        <item x="149"/>
        <item x="59"/>
        <item x="754"/>
        <item x="468"/>
        <item x="159"/>
        <item x="628"/>
        <item x="163"/>
        <item x="41"/>
        <item x="934"/>
        <item x="811"/>
        <item x="889"/>
        <item x="505"/>
        <item x="185"/>
        <item x="272"/>
        <item x="412"/>
        <item x="81"/>
        <item x="894"/>
        <item x="135"/>
        <item x="526"/>
        <item x="13"/>
        <item x="374"/>
        <item x="370"/>
        <item x="928"/>
        <item x="448"/>
        <item x="76"/>
        <item x="176"/>
        <item x="899"/>
        <item x="531"/>
        <item x="347"/>
        <item x="481"/>
        <item x="270"/>
        <item x="400"/>
        <item x="84"/>
        <item x="69"/>
        <item x="440"/>
        <item x="355"/>
        <item x="405"/>
        <item x="725"/>
        <item x="450"/>
        <item x="561"/>
        <item x="733"/>
        <item x="147"/>
        <item x="864"/>
        <item x="611"/>
        <item x="542"/>
        <item x="291"/>
        <item x="586"/>
        <item x="691"/>
        <item x="229"/>
        <item x="891"/>
        <item x="795"/>
        <item x="297"/>
        <item x="375"/>
        <item x="778"/>
        <item x="713"/>
        <item x="937"/>
        <item x="33"/>
        <item x="188"/>
        <item x="324"/>
        <item x="660"/>
        <item x="268"/>
        <item x="349"/>
        <item x="212"/>
        <item x="60"/>
        <item x="633"/>
        <item x="442"/>
        <item x="382"/>
        <item x="406"/>
        <item x="331"/>
        <item x="884"/>
        <item x="441"/>
        <item x="738"/>
        <item x="386"/>
        <item x="474"/>
        <item x="874"/>
        <item x="679"/>
        <item x="337"/>
        <item x="16"/>
        <item x="127"/>
        <item x="168"/>
        <item x="15"/>
        <item x="845"/>
        <item x="882"/>
        <item x="700"/>
        <item x="643"/>
        <item x="28"/>
        <item x="264"/>
        <item x="848"/>
        <item x="527"/>
        <item x="697"/>
        <item x="280"/>
        <item x="532"/>
        <item x="193"/>
        <item x="920"/>
        <item x="115"/>
        <item x="704"/>
        <item x="216"/>
        <item x="196"/>
        <item x="144"/>
        <item x="126"/>
        <item x="225"/>
        <item x="50"/>
        <item x="853"/>
        <item x="562"/>
        <item x="771"/>
        <item x="415"/>
        <item x="305"/>
        <item x="694"/>
        <item x="901"/>
        <item x="507"/>
        <item x="539"/>
        <item x="871"/>
        <item x="1"/>
        <item x="49"/>
        <item x="843"/>
        <item x="479"/>
        <item x="332"/>
        <item x="885"/>
        <item x="836"/>
        <item x="821"/>
        <item x="510"/>
        <item x="27"/>
        <item x="364"/>
        <item x="426"/>
        <item x="657"/>
        <item x="890"/>
        <item x="449"/>
        <item x="500"/>
        <item x="912"/>
        <item x="247"/>
        <item x="872"/>
        <item x="34"/>
        <item x="491"/>
        <item x="467"/>
        <item x="240"/>
        <item x="521"/>
        <item x="302"/>
        <item x="121"/>
        <item x="477"/>
        <item x="925"/>
        <item x="616"/>
        <item x="602"/>
        <item x="23"/>
        <item x="844"/>
        <item x="767"/>
        <item x="702"/>
        <item x="96"/>
        <item x="921"/>
        <item x="164"/>
        <item x="340"/>
        <item x="204"/>
        <item x="99"/>
        <item x="408"/>
        <item x="425"/>
        <item x="860"/>
        <item x="456"/>
        <item x="547"/>
        <item x="800"/>
        <item x="86"/>
        <item x="592"/>
        <item x="887"/>
        <item x="70"/>
        <item x="278"/>
        <item x="560"/>
        <item x="626"/>
        <item x="100"/>
        <item x="419"/>
        <item x="520"/>
        <item x="356"/>
        <item x="294"/>
        <item x="116"/>
        <item x="537"/>
        <item x="696"/>
        <item x="148"/>
        <item x="410"/>
        <item x="389"/>
        <item x="840"/>
        <item x="557"/>
        <item x="109"/>
        <item x="5"/>
        <item x="314"/>
        <item x="698"/>
        <item x="558"/>
        <item x="803"/>
        <item x="390"/>
        <item x="566"/>
        <item x="64"/>
        <item x="674"/>
        <item x="501"/>
        <item x="312"/>
        <item x="662"/>
        <item x="878"/>
        <item x="21"/>
        <item x="648"/>
        <item x="266"/>
        <item x="642"/>
        <item x="201"/>
        <item x="814"/>
        <item x="9"/>
        <item x="830"/>
        <item x="73"/>
        <item x="353"/>
        <item x="396"/>
        <item x="383"/>
        <item x="106"/>
        <item x="581"/>
        <item x="541"/>
        <item x="311"/>
        <item x="837"/>
        <item x="758"/>
        <item x="652"/>
        <item x="773"/>
        <item x="114"/>
        <item x="548"/>
        <item x="169"/>
        <item x="896"/>
        <item x="675"/>
        <item x="835"/>
        <item x="762"/>
        <item x="68"/>
        <item x="378"/>
        <item x="469"/>
        <item x="588"/>
        <item x="424"/>
        <item x="139"/>
        <item x="488"/>
        <item x="377"/>
        <item x="917"/>
        <item x="796"/>
        <item x="345"/>
        <item x="252"/>
        <item x="687"/>
        <item x="932"/>
        <item x="259"/>
        <item x="653"/>
        <item x="590"/>
        <item x="638"/>
        <item x="597"/>
        <item x="343"/>
        <item x="599"/>
        <item x="486"/>
        <item x="346"/>
        <item x="546"/>
        <item x="265"/>
        <item x="267"/>
        <item x="701"/>
        <item x="432"/>
        <item x="683"/>
        <item x="720"/>
        <item x="394"/>
        <item x="233"/>
        <item x="166"/>
        <item x="463"/>
        <item x="816"/>
        <item x="709"/>
        <item x="279"/>
        <item x="908"/>
        <item x="540"/>
        <item x="718"/>
        <item x="663"/>
        <item x="799"/>
        <item x="273"/>
        <item x="852"/>
        <item x="693"/>
        <item x="330"/>
        <item x="4"/>
        <item x="464"/>
        <item x="315"/>
        <item x="606"/>
        <item x="307"/>
        <item x="790"/>
        <item x="897"/>
        <item x="316"/>
        <item x="341"/>
        <item x="617"/>
        <item x="783"/>
        <item x="741"/>
        <item x="768"/>
        <item x="831"/>
        <item x="67"/>
        <item x="257"/>
        <item x="695"/>
        <item x="619"/>
        <item x="2"/>
        <item x="498"/>
        <item x="53"/>
        <item x="649"/>
        <item x="357"/>
        <item x="140"/>
        <item x="195"/>
        <item x="200"/>
        <item x="274"/>
        <item x="79"/>
        <item x="784"/>
        <item x="483"/>
        <item x="563"/>
        <item x="792"/>
        <item x="434"/>
        <item x="854"/>
        <item x="600"/>
        <item x="360"/>
        <item x="124"/>
        <item x="170"/>
        <item x="823"/>
        <item x="688"/>
        <item x="26"/>
        <item x="475"/>
        <item x="192"/>
        <item x="492"/>
        <item x="630"/>
        <item x="234"/>
        <item x="145"/>
        <item x="88"/>
        <item x="877"/>
        <item x="529"/>
        <item x="327"/>
        <item x="755"/>
        <item x="818"/>
        <item x="119"/>
        <item x="685"/>
        <item x="849"/>
        <item x="883"/>
        <item x="910"/>
        <item x="515"/>
        <item x="428"/>
        <item x="740"/>
        <item x="423"/>
        <item x="690"/>
        <item x="87"/>
        <item x="596"/>
        <item x="199"/>
        <item x="514"/>
        <item x="577"/>
        <item x="764"/>
        <item x="861"/>
        <item x="221"/>
        <item x="187"/>
        <item x="38"/>
        <item x="580"/>
        <item x="19"/>
        <item x="591"/>
        <item x="466"/>
        <item x="202"/>
        <item x="886"/>
        <item x="320"/>
        <item x="812"/>
        <item x="603"/>
        <item x="361"/>
        <item x="150"/>
        <item x="94"/>
        <item x="752"/>
        <item x="363"/>
        <item x="249"/>
        <item x="933"/>
        <item x="18"/>
        <item x="300"/>
        <item x="587"/>
        <item x="103"/>
        <item x="747"/>
        <item x="772"/>
        <item x="285"/>
        <item x="319"/>
        <item x="431"/>
        <item x="576"/>
        <item x="838"/>
        <item x="416"/>
        <item x="846"/>
        <item x="348"/>
        <item x="609"/>
        <item x="306"/>
        <item x="211"/>
        <item x="232"/>
        <item x="39"/>
        <item x="329"/>
        <item x="409"/>
        <item x="262"/>
        <item x="570"/>
        <item x="376"/>
        <item x="699"/>
        <item x="879"/>
        <item x="37"/>
        <item x="57"/>
        <item x="922"/>
        <item x="785"/>
        <item x="517"/>
        <item x="881"/>
        <item x="641"/>
        <item x="3"/>
        <item x="601"/>
        <item x="235"/>
        <item x="287"/>
        <item x="765"/>
        <item x="104"/>
        <item x="664"/>
        <item x="230"/>
        <item x="658"/>
        <item x="91"/>
        <item x="161"/>
        <item x="875"/>
        <item x="399"/>
        <item x="804"/>
        <item x="309"/>
        <item x="927"/>
        <item x="157"/>
        <item x="579"/>
        <item x="512"/>
        <item x="17"/>
        <item x="42"/>
        <item x="757"/>
        <item x="737"/>
        <item x="670"/>
        <item x="779"/>
        <item x="30"/>
        <item x="379"/>
        <item x="323"/>
        <item x="83"/>
        <item x="22"/>
        <item x="705"/>
        <item x="92"/>
        <item x="936"/>
        <item x="824"/>
        <item x="484"/>
        <item x="470"/>
        <item x="913"/>
        <item x="368"/>
        <item x="381"/>
        <item x="433"/>
        <item x="931"/>
        <item x="746"/>
        <item x="178"/>
        <item x="676"/>
        <item t="default"/>
      </items>
    </pivotField>
    <pivotField showAll="0"/>
    <pivotField showAll="0"/>
    <pivotField axis="axisRow" showAll="0">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3">
    <i>
      <x/>
    </i>
    <i>
      <x v="1"/>
    </i>
    <i t="grand">
      <x/>
    </i>
  </rowItems>
  <colItems count="1">
    <i/>
  </colItems>
  <dataFields count="1">
    <dataField name="Sum of Net Sales" fld="12" baseField="15" baseItem="1"/>
  </dataFields>
  <formats count="18">
    <format dxfId="3731">
      <pivotArea type="all" dataOnly="0" outline="0" fieldPosition="0"/>
    </format>
    <format dxfId="3730">
      <pivotArea outline="0" collapsedLevelsAreSubtotals="1" fieldPosition="0"/>
    </format>
    <format dxfId="3729">
      <pivotArea field="6" type="button" dataOnly="0" labelOnly="1" outline="0"/>
    </format>
    <format dxfId="3728">
      <pivotArea dataOnly="0" labelOnly="1" grandRow="1" outline="0" fieldPosition="0"/>
    </format>
    <format dxfId="3727">
      <pivotArea type="all" dataOnly="0" outline="0" fieldPosition="0"/>
    </format>
    <format dxfId="3726">
      <pivotArea outline="0" collapsedLevelsAreSubtotals="1" fieldPosition="0"/>
    </format>
    <format dxfId="3725">
      <pivotArea field="6" type="button" dataOnly="0" labelOnly="1" outline="0"/>
    </format>
    <format dxfId="3724">
      <pivotArea dataOnly="0" labelOnly="1" grandRow="1" outline="0" fieldPosition="0"/>
    </format>
    <format dxfId="3723">
      <pivotArea type="all" dataOnly="0" outline="0" fieldPosition="0"/>
    </format>
    <format dxfId="3722">
      <pivotArea outline="0" collapsedLevelsAreSubtotals="1" fieldPosition="0"/>
    </format>
    <format dxfId="3721">
      <pivotArea field="6" type="button" dataOnly="0" labelOnly="1" outline="0"/>
    </format>
    <format dxfId="3720">
      <pivotArea dataOnly="0" labelOnly="1" grandRow="1" outline="0" fieldPosition="0"/>
    </format>
    <format dxfId="3719">
      <pivotArea type="all" dataOnly="0" outline="0" fieldPosition="0"/>
    </format>
    <format dxfId="3718">
      <pivotArea outline="0" collapsedLevelsAreSubtotals="1" fieldPosition="0"/>
    </format>
    <format dxfId="3717">
      <pivotArea field="15" type="button" dataOnly="0" labelOnly="1" outline="0" axis="axisRow" fieldPosition="0"/>
    </format>
    <format dxfId="3716">
      <pivotArea dataOnly="0" labelOnly="1" fieldPosition="0">
        <references count="1">
          <reference field="15" count="0"/>
        </references>
      </pivotArea>
    </format>
    <format dxfId="3715">
      <pivotArea dataOnly="0" labelOnly="1" grandRow="1" outline="0" fieldPosition="0"/>
    </format>
    <format dxfId="3714">
      <pivotArea dataOnly="0" labelOnly="1" outline="0" axis="axisValues"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CBC3FC-8BA3-4C45-B0FD-DB37EE4ABEA8}" name="Category Performanc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Product Category">
  <location ref="A4:C8" firstHeaderRow="0" firstDataRow="1" firstDataCol="1"/>
  <pivotFields count="18">
    <pivotField numFmtId="164" showAll="0">
      <items count="181">
        <item x="124"/>
        <item x="115"/>
        <item x="113"/>
        <item x="172"/>
        <item x="31"/>
        <item x="36"/>
        <item x="91"/>
        <item x="49"/>
        <item x="131"/>
        <item x="26"/>
        <item x="21"/>
        <item x="151"/>
        <item x="136"/>
        <item x="168"/>
        <item x="57"/>
        <item x="125"/>
        <item x="99"/>
        <item x="83"/>
        <item x="15"/>
        <item x="72"/>
        <item x="140"/>
        <item x="155"/>
        <item x="116"/>
        <item x="154"/>
        <item x="71"/>
        <item x="2"/>
        <item x="61"/>
        <item x="22"/>
        <item x="170"/>
        <item x="32"/>
        <item x="177"/>
        <item x="39"/>
        <item x="46"/>
        <item x="80"/>
        <item x="64"/>
        <item x="123"/>
        <item x="138"/>
        <item x="48"/>
        <item x="128"/>
        <item x="60"/>
        <item x="89"/>
        <item x="75"/>
        <item x="157"/>
        <item x="145"/>
        <item x="179"/>
        <item x="175"/>
        <item x="93"/>
        <item x="162"/>
        <item x="78"/>
        <item x="68"/>
        <item x="69"/>
        <item x="55"/>
        <item x="11"/>
        <item x="135"/>
        <item x="101"/>
        <item x="8"/>
        <item x="107"/>
        <item x="74"/>
        <item x="156"/>
        <item x="59"/>
        <item x="165"/>
        <item x="52"/>
        <item x="27"/>
        <item x="167"/>
        <item x="35"/>
        <item x="119"/>
        <item x="87"/>
        <item x="66"/>
        <item x="150"/>
        <item x="50"/>
        <item x="130"/>
        <item x="79"/>
        <item x="160"/>
        <item x="153"/>
        <item x="42"/>
        <item x="47"/>
        <item x="176"/>
        <item x="73"/>
        <item x="90"/>
        <item x="0"/>
        <item x="120"/>
        <item x="92"/>
        <item x="178"/>
        <item x="13"/>
        <item x="164"/>
        <item x="70"/>
        <item x="118"/>
        <item x="51"/>
        <item x="171"/>
        <item x="97"/>
        <item x="76"/>
        <item x="122"/>
        <item x="133"/>
        <item x="112"/>
        <item x="3"/>
        <item x="102"/>
        <item x="104"/>
        <item x="174"/>
        <item x="117"/>
        <item x="30"/>
        <item x="159"/>
        <item x="141"/>
        <item x="67"/>
        <item x="108"/>
        <item x="19"/>
        <item x="95"/>
        <item x="103"/>
        <item x="9"/>
        <item x="127"/>
        <item x="163"/>
        <item x="106"/>
        <item x="17"/>
        <item x="65"/>
        <item x="109"/>
        <item x="166"/>
        <item x="44"/>
        <item x="58"/>
        <item x="134"/>
        <item x="37"/>
        <item x="146"/>
        <item x="43"/>
        <item x="149"/>
        <item x="5"/>
        <item x="18"/>
        <item x="1"/>
        <item x="63"/>
        <item x="143"/>
        <item x="12"/>
        <item x="7"/>
        <item x="40"/>
        <item x="96"/>
        <item x="132"/>
        <item x="129"/>
        <item x="82"/>
        <item x="158"/>
        <item x="88"/>
        <item x="84"/>
        <item x="169"/>
        <item x="137"/>
        <item x="38"/>
        <item x="14"/>
        <item x="126"/>
        <item x="105"/>
        <item x="62"/>
        <item x="23"/>
        <item x="28"/>
        <item x="6"/>
        <item x="20"/>
        <item x="85"/>
        <item x="34"/>
        <item x="4"/>
        <item x="147"/>
        <item x="10"/>
        <item x="98"/>
        <item x="111"/>
        <item x="33"/>
        <item x="56"/>
        <item x="152"/>
        <item x="139"/>
        <item x="110"/>
        <item x="161"/>
        <item x="114"/>
        <item x="81"/>
        <item x="24"/>
        <item x="144"/>
        <item x="45"/>
        <item x="54"/>
        <item x="41"/>
        <item x="53"/>
        <item x="29"/>
        <item x="94"/>
        <item x="173"/>
        <item x="100"/>
        <item x="148"/>
        <item x="121"/>
        <item x="142"/>
        <item x="25"/>
        <item x="16"/>
        <item x="77"/>
        <item x="86"/>
        <item t="default"/>
      </items>
    </pivotField>
    <pivotField showAll="0"/>
    <pivotField showAll="0"/>
    <pivotField showAll="0">
      <items count="5">
        <item x="1"/>
        <item x="3"/>
        <item x="2"/>
        <item x="0"/>
        <item t="default"/>
      </items>
    </pivotField>
    <pivotField showAll="0"/>
    <pivotField showAll="0"/>
    <pivotField axis="axisRow" showAll="0">
      <items count="4">
        <item x="1"/>
        <item x="0"/>
        <item x="2"/>
        <item t="default"/>
      </items>
    </pivotField>
    <pivotField showAll="0">
      <items count="7">
        <item x="4"/>
        <item x="5"/>
        <item x="1"/>
        <item x="2"/>
        <item x="0"/>
        <item x="3"/>
        <item t="default"/>
      </items>
    </pivotField>
    <pivotField showAll="0"/>
    <pivotField showAll="0"/>
    <pivotField showAll="0"/>
    <pivotField showAll="0">
      <items count="558">
        <item x="285"/>
        <item x="46"/>
        <item x="125"/>
        <item x="115"/>
        <item x="396"/>
        <item x="469"/>
        <item x="337"/>
        <item x="120"/>
        <item x="402"/>
        <item x="204"/>
        <item x="246"/>
        <item x="121"/>
        <item x="342"/>
        <item x="327"/>
        <item x="94"/>
        <item x="185"/>
        <item x="323"/>
        <item x="479"/>
        <item x="25"/>
        <item x="281"/>
        <item x="556"/>
        <item x="190"/>
        <item x="423"/>
        <item x="181"/>
        <item x="253"/>
        <item x="189"/>
        <item x="155"/>
        <item x="316"/>
        <item x="439"/>
        <item x="374"/>
        <item x="212"/>
        <item x="314"/>
        <item x="292"/>
        <item x="174"/>
        <item x="100"/>
        <item x="32"/>
        <item x="154"/>
        <item x="339"/>
        <item x="44"/>
        <item x="449"/>
        <item x="184"/>
        <item x="206"/>
        <item x="305"/>
        <item x="440"/>
        <item x="380"/>
        <item x="411"/>
        <item x="43"/>
        <item x="359"/>
        <item x="71"/>
        <item x="10"/>
        <item x="194"/>
        <item x="86"/>
        <item x="196"/>
        <item x="34"/>
        <item x="428"/>
        <item x="35"/>
        <item x="230"/>
        <item x="129"/>
        <item x="47"/>
        <item x="389"/>
        <item x="552"/>
        <item x="162"/>
        <item x="242"/>
        <item x="512"/>
        <item x="353"/>
        <item x="202"/>
        <item x="436"/>
        <item x="362"/>
        <item x="93"/>
        <item x="364"/>
        <item x="31"/>
        <item x="146"/>
        <item x="357"/>
        <item x="524"/>
        <item x="158"/>
        <item x="502"/>
        <item x="148"/>
        <item x="319"/>
        <item x="163"/>
        <item x="529"/>
        <item x="548"/>
        <item x="418"/>
        <item x="39"/>
        <item x="409"/>
        <item x="213"/>
        <item x="300"/>
        <item x="417"/>
        <item x="45"/>
        <item x="477"/>
        <item x="273"/>
        <item x="448"/>
        <item x="311"/>
        <item x="105"/>
        <item x="493"/>
        <item x="265"/>
        <item x="390"/>
        <item x="61"/>
        <item x="89"/>
        <item x="166"/>
        <item x="555"/>
        <item x="397"/>
        <item x="211"/>
        <item x="182"/>
        <item x="381"/>
        <item x="358"/>
        <item x="406"/>
        <item x="282"/>
        <item x="456"/>
        <item x="79"/>
        <item x="443"/>
        <item x="544"/>
        <item x="343"/>
        <item x="63"/>
        <item x="501"/>
        <item x="475"/>
        <item x="239"/>
        <item x="484"/>
        <item x="69"/>
        <item x="467"/>
        <item x="226"/>
        <item x="138"/>
        <item x="142"/>
        <item x="122"/>
        <item x="64"/>
        <item x="474"/>
        <item x="542"/>
        <item x="119"/>
        <item x="279"/>
        <item x="424"/>
        <item x="385"/>
        <item x="543"/>
        <item x="12"/>
        <item x="361"/>
        <item x="102"/>
        <item x="504"/>
        <item x="260"/>
        <item x="482"/>
        <item x="175"/>
        <item x="525"/>
        <item x="200"/>
        <item x="150"/>
        <item x="49"/>
        <item x="56"/>
        <item x="399"/>
        <item x="301"/>
        <item x="331"/>
        <item x="60"/>
        <item x="193"/>
        <item x="547"/>
        <item x="111"/>
        <item x="128"/>
        <item x="420"/>
        <item x="144"/>
        <item x="208"/>
        <item x="97"/>
        <item x="257"/>
        <item x="476"/>
        <item x="452"/>
        <item x="298"/>
        <item x="509"/>
        <item x="183"/>
        <item x="53"/>
        <item x="429"/>
        <item x="492"/>
        <item x="438"/>
        <item x="497"/>
        <item x="540"/>
        <item x="139"/>
        <item x="322"/>
        <item x="231"/>
        <item x="506"/>
        <item x="107"/>
        <item x="135"/>
        <item x="75"/>
        <item x="20"/>
        <item x="297"/>
        <item x="77"/>
        <item x="295"/>
        <item x="223"/>
        <item x="205"/>
        <item x="11"/>
        <item x="355"/>
        <item x="113"/>
        <item x="379"/>
        <item x="136"/>
        <item x="91"/>
        <item x="330"/>
        <item x="368"/>
        <item x="59"/>
        <item x="201"/>
        <item x="486"/>
        <item x="519"/>
        <item x="237"/>
        <item x="137"/>
        <item x="401"/>
        <item x="503"/>
        <item x="458"/>
        <item x="192"/>
        <item x="170"/>
        <item x="106"/>
        <item x="450"/>
        <item x="254"/>
        <item x="472"/>
        <item x="52"/>
        <item x="332"/>
        <item x="376"/>
        <item x="478"/>
        <item x="266"/>
        <item x="341"/>
        <item x="523"/>
        <item x="216"/>
        <item x="6"/>
        <item x="50"/>
        <item x="157"/>
        <item x="191"/>
        <item x="82"/>
        <item x="0"/>
        <item x="116"/>
        <item x="14"/>
        <item x="74"/>
        <item x="243"/>
        <item x="215"/>
        <item x="7"/>
        <item x="412"/>
        <item x="366"/>
        <item x="234"/>
        <item x="537"/>
        <item x="54"/>
        <item x="249"/>
        <item x="335"/>
        <item x="187"/>
        <item x="203"/>
        <item x="156"/>
        <item x="124"/>
        <item x="545"/>
        <item x="526"/>
        <item x="392"/>
        <item x="165"/>
        <item x="405"/>
        <item x="400"/>
        <item x="470"/>
        <item x="345"/>
        <item x="427"/>
        <item x="161"/>
        <item x="164"/>
        <item x="171"/>
        <item x="302"/>
        <item x="24"/>
        <item x="481"/>
        <item x="371"/>
        <item x="515"/>
        <item x="232"/>
        <item x="433"/>
        <item x="217"/>
        <item x="336"/>
        <item x="315"/>
        <item x="103"/>
        <item x="72"/>
        <item x="143"/>
        <item x="340"/>
        <item x="432"/>
        <item x="42"/>
        <item x="57"/>
        <item x="430"/>
        <item x="495"/>
        <item x="78"/>
        <item x="123"/>
        <item x="159"/>
        <item x="310"/>
        <item x="284"/>
        <item x="328"/>
        <item x="333"/>
        <item x="133"/>
        <item x="271"/>
        <item x="307"/>
        <item x="40"/>
        <item x="236"/>
        <item x="375"/>
        <item x="140"/>
        <item x="447"/>
        <item x="222"/>
        <item x="538"/>
        <item x="8"/>
        <item x="13"/>
        <item x="81"/>
        <item x="480"/>
        <item x="363"/>
        <item x="344"/>
        <item x="29"/>
        <item x="275"/>
        <item x="73"/>
        <item x="224"/>
        <item x="287"/>
        <item x="422"/>
        <item x="286"/>
        <item x="167"/>
        <item x="67"/>
        <item x="329"/>
        <item x="169"/>
        <item x="384"/>
        <item x="435"/>
        <item x="378"/>
        <item x="407"/>
        <item x="296"/>
        <item x="348"/>
        <item x="221"/>
        <item x="445"/>
        <item x="263"/>
        <item x="131"/>
        <item x="267"/>
        <item x="471"/>
        <item x="393"/>
        <item x="259"/>
        <item x="16"/>
        <item x="15"/>
        <item x="58"/>
        <item x="118"/>
        <item x="294"/>
        <item x="457"/>
        <item x="151"/>
        <item x="530"/>
        <item x="437"/>
        <item x="534"/>
        <item x="229"/>
        <item x="172"/>
        <item x="466"/>
        <item x="186"/>
        <item x="550"/>
        <item x="520"/>
        <item x="535"/>
        <item x="218"/>
        <item x="28"/>
        <item x="517"/>
        <item x="117"/>
        <item x="522"/>
        <item x="394"/>
        <item x="312"/>
        <item x="109"/>
        <item x="188"/>
        <item x="173"/>
        <item x="48"/>
        <item x="1"/>
        <item x="280"/>
        <item x="334"/>
        <item x="360"/>
        <item x="207"/>
        <item x="464"/>
        <item x="527"/>
        <item x="510"/>
        <item x="365"/>
        <item x="539"/>
        <item x="264"/>
        <item x="546"/>
        <item x="27"/>
        <item x="114"/>
        <item x="425"/>
        <item x="318"/>
        <item x="516"/>
        <item x="491"/>
        <item x="356"/>
        <item x="241"/>
        <item x="528"/>
        <item x="33"/>
        <item x="347"/>
        <item x="350"/>
        <item x="92"/>
        <item x="387"/>
        <item x="95"/>
        <item x="338"/>
        <item x="23"/>
        <item x="147"/>
        <item x="68"/>
        <item x="83"/>
        <item x="238"/>
        <item x="180"/>
        <item x="132"/>
        <item x="227"/>
        <item x="410"/>
        <item x="308"/>
        <item x="5"/>
        <item x="500"/>
        <item x="431"/>
        <item x="373"/>
        <item x="453"/>
        <item x="532"/>
        <item x="321"/>
        <item x="110"/>
        <item x="96"/>
        <item x="299"/>
        <item x="391"/>
        <item x="21"/>
        <item x="104"/>
        <item x="9"/>
        <item x="441"/>
        <item x="250"/>
        <item x="70"/>
        <item x="62"/>
        <item x="152"/>
        <item x="304"/>
        <item x="108"/>
        <item x="514"/>
        <item x="248"/>
        <item x="454"/>
        <item x="383"/>
        <item x="178"/>
        <item x="66"/>
        <item x="274"/>
        <item x="541"/>
        <item x="460"/>
        <item x="404"/>
        <item x="247"/>
        <item x="290"/>
        <item x="507"/>
        <item x="101"/>
        <item x="289"/>
        <item x="388"/>
        <item x="269"/>
        <item x="220"/>
        <item x="354"/>
        <item x="408"/>
        <item x="549"/>
        <item x="382"/>
        <item x="473"/>
        <item x="270"/>
        <item x="521"/>
        <item x="325"/>
        <item x="210"/>
        <item x="352"/>
        <item x="126"/>
        <item x="386"/>
        <item x="459"/>
        <item x="219"/>
        <item x="468"/>
        <item x="498"/>
        <item x="442"/>
        <item x="553"/>
        <item x="419"/>
        <item x="414"/>
        <item x="149"/>
        <item x="303"/>
        <item x="197"/>
        <item x="251"/>
        <item x="268"/>
        <item x="228"/>
        <item x="4"/>
        <item x="252"/>
        <item x="65"/>
        <item x="127"/>
        <item x="51"/>
        <item x="463"/>
        <item x="426"/>
        <item x="214"/>
        <item x="351"/>
        <item x="225"/>
        <item x="465"/>
        <item x="153"/>
        <item x="395"/>
        <item x="513"/>
        <item x="76"/>
        <item x="511"/>
        <item x="261"/>
        <item x="177"/>
        <item x="276"/>
        <item x="2"/>
        <item x="198"/>
        <item x="277"/>
        <item x="349"/>
        <item x="112"/>
        <item x="130"/>
        <item x="499"/>
        <item x="461"/>
        <item x="377"/>
        <item x="487"/>
        <item x="317"/>
        <item x="370"/>
        <item x="508"/>
        <item x="85"/>
        <item x="434"/>
        <item x="320"/>
        <item x="26"/>
        <item x="37"/>
        <item x="176"/>
        <item x="483"/>
        <item x="168"/>
        <item x="84"/>
        <item x="256"/>
        <item x="462"/>
        <item x="413"/>
        <item x="489"/>
        <item x="209"/>
        <item x="18"/>
        <item x="536"/>
        <item x="278"/>
        <item x="485"/>
        <item x="369"/>
        <item x="554"/>
        <item x="19"/>
        <item x="134"/>
        <item x="240"/>
        <item x="179"/>
        <item x="313"/>
        <item x="505"/>
        <item x="346"/>
        <item x="416"/>
        <item x="262"/>
        <item x="324"/>
        <item x="98"/>
        <item x="90"/>
        <item x="309"/>
        <item x="272"/>
        <item x="421"/>
        <item x="533"/>
        <item x="233"/>
        <item x="518"/>
        <item x="496"/>
        <item x="398"/>
        <item x="255"/>
        <item x="490"/>
        <item x="55"/>
        <item x="288"/>
        <item x="244"/>
        <item x="38"/>
        <item x="235"/>
        <item x="199"/>
        <item x="444"/>
        <item x="195"/>
        <item x="372"/>
        <item x="36"/>
        <item x="99"/>
        <item x="87"/>
        <item x="551"/>
        <item x="415"/>
        <item x="3"/>
        <item x="403"/>
        <item x="306"/>
        <item x="245"/>
        <item x="145"/>
        <item x="446"/>
        <item x="488"/>
        <item x="17"/>
        <item x="41"/>
        <item x="141"/>
        <item x="531"/>
        <item x="367"/>
        <item x="258"/>
        <item x="22"/>
        <item x="451"/>
        <item x="80"/>
        <item x="88"/>
        <item x="291"/>
        <item x="30"/>
        <item x="494"/>
        <item x="293"/>
        <item x="160"/>
        <item x="326"/>
        <item x="455"/>
        <item x="283"/>
        <item t="default"/>
      </items>
    </pivotField>
    <pivotField dataField="1" showAll="0"/>
    <pivotField showAll="0"/>
    <pivotField showAll="0"/>
    <pivotField showAll="0">
      <items count="3">
        <item h="1"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Fields count="1">
    <field x="-2"/>
  </colFields>
  <colItems count="2">
    <i>
      <x/>
    </i>
    <i i="1">
      <x v="1"/>
    </i>
  </colItems>
  <dataFields count="2">
    <dataField name="Sum of Net Sales" fld="12" baseField="0" baseItem="0"/>
    <dataField name="% Share" fld="12" showDataAs="percentOfTotal" baseField="6" baseItem="0" numFmtId="10"/>
  </dataFields>
  <formats count="24">
    <format dxfId="3755">
      <pivotArea type="all" dataOnly="0" outline="0" fieldPosition="0"/>
    </format>
    <format dxfId="3754">
      <pivotArea outline="0" collapsedLevelsAreSubtotals="1" fieldPosition="0"/>
    </format>
    <format dxfId="3753">
      <pivotArea field="6" type="button" dataOnly="0" labelOnly="1" outline="0" axis="axisRow" fieldPosition="0"/>
    </format>
    <format dxfId="3752">
      <pivotArea dataOnly="0" labelOnly="1" fieldPosition="0">
        <references count="1">
          <reference field="6" count="0"/>
        </references>
      </pivotArea>
    </format>
    <format dxfId="3751">
      <pivotArea dataOnly="0" labelOnly="1" grandRow="1" outline="0" fieldPosition="0"/>
    </format>
    <format dxfId="3750">
      <pivotArea dataOnly="0" labelOnly="1" outline="0" fieldPosition="0">
        <references count="1">
          <reference field="4294967294" count="2">
            <x v="0"/>
            <x v="1"/>
          </reference>
        </references>
      </pivotArea>
    </format>
    <format dxfId="3749">
      <pivotArea type="all" dataOnly="0" outline="0" fieldPosition="0"/>
    </format>
    <format dxfId="3748">
      <pivotArea outline="0" collapsedLevelsAreSubtotals="1" fieldPosition="0"/>
    </format>
    <format dxfId="3747">
      <pivotArea field="6" type="button" dataOnly="0" labelOnly="1" outline="0" axis="axisRow" fieldPosition="0"/>
    </format>
    <format dxfId="3746">
      <pivotArea dataOnly="0" labelOnly="1" fieldPosition="0">
        <references count="1">
          <reference field="6" count="0"/>
        </references>
      </pivotArea>
    </format>
    <format dxfId="3745">
      <pivotArea dataOnly="0" labelOnly="1" grandRow="1" outline="0" fieldPosition="0"/>
    </format>
    <format dxfId="3744">
      <pivotArea dataOnly="0" labelOnly="1" outline="0" fieldPosition="0">
        <references count="1">
          <reference field="4294967294" count="2">
            <x v="0"/>
            <x v="1"/>
          </reference>
        </references>
      </pivotArea>
    </format>
    <format dxfId="3743">
      <pivotArea type="all" dataOnly="0" outline="0" fieldPosition="0"/>
    </format>
    <format dxfId="3742">
      <pivotArea outline="0" collapsedLevelsAreSubtotals="1" fieldPosition="0"/>
    </format>
    <format dxfId="3741">
      <pivotArea field="6" type="button" dataOnly="0" labelOnly="1" outline="0" axis="axisRow" fieldPosition="0"/>
    </format>
    <format dxfId="3740">
      <pivotArea dataOnly="0" labelOnly="1" fieldPosition="0">
        <references count="1">
          <reference field="6" count="0"/>
        </references>
      </pivotArea>
    </format>
    <format dxfId="3739">
      <pivotArea dataOnly="0" labelOnly="1" grandRow="1" outline="0" fieldPosition="0"/>
    </format>
    <format dxfId="3738">
      <pivotArea dataOnly="0" labelOnly="1" outline="0" fieldPosition="0">
        <references count="1">
          <reference field="4294967294" count="2">
            <x v="0"/>
            <x v="1"/>
          </reference>
        </references>
      </pivotArea>
    </format>
    <format dxfId="3737">
      <pivotArea type="all" dataOnly="0" outline="0" fieldPosition="0"/>
    </format>
    <format dxfId="3736">
      <pivotArea outline="0" collapsedLevelsAreSubtotals="1" fieldPosition="0"/>
    </format>
    <format dxfId="3735">
      <pivotArea field="6" type="button" dataOnly="0" labelOnly="1" outline="0" axis="axisRow" fieldPosition="0"/>
    </format>
    <format dxfId="3734">
      <pivotArea dataOnly="0" labelOnly="1" fieldPosition="0">
        <references count="1">
          <reference field="6" count="0"/>
        </references>
      </pivotArea>
    </format>
    <format dxfId="3733">
      <pivotArea dataOnly="0" labelOnly="1" grandRow="1" outline="0" fieldPosition="0"/>
    </format>
    <format dxfId="3732">
      <pivotArea dataOnly="0" labelOnly="1" outline="0" fieldPosition="0">
        <references count="1">
          <reference field="4294967294" count="2">
            <x v="0"/>
            <x v="1"/>
          </reference>
        </references>
      </pivotArea>
    </format>
  </format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4120CD3-1381-4918-A0C9-0D7FCFD9EF77}" sourceName="Region">
  <pivotTables>
    <pivotTable tabId="8" name="PivotTable7"/>
    <pivotTable tabId="8" name="Category Performance"/>
    <pivotTable tabId="8" name="PivotTable12"/>
    <pivotTable tabId="8" name="PivotTable9"/>
    <pivotTable tabId="8" name="PivotTable13"/>
    <pivotTable tabId="8" name="PivotTable14"/>
    <pivotTable tabId="8" name="PivotTable18"/>
  </pivotTables>
  <data>
    <tabular pivotCacheId="559837933">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7D905B9-F6B0-4F94-86BB-04C3F3D3776B}" sourceName="Product Category">
  <pivotTables>
    <pivotTable tabId="8" name="PivotTable7"/>
    <pivotTable tabId="8" name="Category Performance"/>
    <pivotTable tabId="8" name="PivotTable12"/>
    <pivotTable tabId="8" name="PivotTable9"/>
    <pivotTable tabId="8" name="PivotTable13"/>
    <pivotTable tabId="8" name="PivotTable14"/>
    <pivotTable tabId="8" name="PivotTable18"/>
  </pivotTables>
  <data>
    <tabular pivotCacheId="559837933">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9260639D-06A4-4273-9D67-37A94BA43F93}" sourceName="Product Name">
  <pivotTables>
    <pivotTable tabId="8" name="PivotTable7"/>
    <pivotTable tabId="8" name="Category Performance"/>
    <pivotTable tabId="8" name="PivotTable12"/>
    <pivotTable tabId="8" name="PivotTable9"/>
    <pivotTable tabId="8" name="PivotTable13"/>
    <pivotTable tabId="8" name="PivotTable14"/>
    <pivotTable tabId="8" name="PivotTable18"/>
  </pivotTables>
  <data>
    <tabular pivotCacheId="559837933">
      <items count="6">
        <i x="4" s="1"/>
        <i x="5" s="1"/>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0958F40-392C-4305-9FAF-41013E393E6D}" sourceName="State">
  <pivotTables>
    <pivotTable tabId="8" name="PivotTable18"/>
  </pivotTables>
  <data>
    <tabular pivotCacheId="559837933">
      <items count="11">
        <i x="2" s="1"/>
        <i x="9" s="1"/>
        <i x="0" s="1"/>
        <i x="10" s="1"/>
        <i x="8" s="1"/>
        <i x="7" s="1"/>
        <i x="3" s="1"/>
        <i x="5" s="1"/>
        <i x="4" s="1"/>
        <i x="6"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92790F5-32C4-4A8B-B69E-F7F4090DAEEF}" cache="Slicer_Region" caption="Region" rowHeight="241300"/>
  <slicer name="Product Category" xr10:uid="{9CDF6D60-6E3D-4BD3-992C-C2F6B34B6FD7}" cache="Slicer_Product_Category" caption="Product Category" rowHeight="241300"/>
  <slicer name="Product Name" xr10:uid="{474970DA-A4B5-4F51-9BF6-EBF56E111E4D}" cache="Slicer_Product_Name" caption="Product Name" rowHeight="241300"/>
  <slicer name="State" xr10:uid="{00A48FFB-6201-4719-B76F-9E97D4264B6B}" cache="Slicer_State" caption="St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1001" totalsRowShown="0" headerRowDxfId="3776" headerRowBorderDxfId="3775" tableBorderDxfId="3774" totalsRowBorderDxfId="3773">
  <autoFilter ref="A1:Q1001" xr:uid="{00000000-0009-0000-0100-000001000000}"/>
  <tableColumns count="17">
    <tableColumn id="1" xr3:uid="{00000000-0010-0000-0000-000001000000}" name="Date" dataDxfId="3772"/>
    <tableColumn id="2" xr3:uid="{00000000-0010-0000-0000-000002000000}" name="Invoice No" dataDxfId="3771"/>
    <tableColumn id="3" xr3:uid="{00000000-0010-0000-0000-000003000000}" name="Distributor" dataDxfId="3770"/>
    <tableColumn id="4" xr3:uid="{00000000-0010-0000-0000-000004000000}" name="Region" dataDxfId="3769"/>
    <tableColumn id="5" xr3:uid="{00000000-0010-0000-0000-000005000000}" name="State" dataDxfId="3768"/>
    <tableColumn id="6" xr3:uid="{00000000-0010-0000-0000-000006000000}" name="Sales Executive" dataDxfId="3767"/>
    <tableColumn id="7" xr3:uid="{00000000-0010-0000-0000-000007000000}" name="Product Category" dataDxfId="3766"/>
    <tableColumn id="8" xr3:uid="{00000000-0010-0000-0000-000008000000}" name="Product Name" dataDxfId="3765"/>
    <tableColumn id="9" xr3:uid="{00000000-0010-0000-0000-000009000000}" name="Units Sold" dataDxfId="3764"/>
    <tableColumn id="10" xr3:uid="{00000000-0010-0000-0000-00000A000000}" name="Unit Price" dataDxfId="3763"/>
    <tableColumn id="11" xr3:uid="{00000000-0010-0000-0000-00000B000000}" name="Discount %" dataDxfId="3762"/>
    <tableColumn id="12" xr3:uid="{00000000-0010-0000-0000-00000C000000}" name="Gross Sales" dataDxfId="3761"/>
    <tableColumn id="13" xr3:uid="{00000000-0010-0000-0000-00000D000000}" name="Net Sales" dataDxfId="3760"/>
    <tableColumn id="14" xr3:uid="{00000000-0010-0000-0000-00000E000000}" name="Target Sales" dataDxfId="3759"/>
    <tableColumn id="15" xr3:uid="{00000000-0010-0000-0000-00000F000000}" name="Achievement %" dataDxfId="3758"/>
    <tableColumn id="16" xr3:uid="{00000000-0010-0000-0000-000010000000}" name="Payment Status" dataDxfId="3757"/>
    <tableColumn id="17" xr3:uid="{49109FA7-945D-4B14-8339-F06FAB94CB6D}" name="Month Name" dataDxfId="375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5275F6-65FE-4B3E-904A-DB147B4BD5E2}" name="Table2" displayName="Table2" ref="M14:N18" totalsRowShown="0" headerRowDxfId="3605" headerRowBorderDxfId="3604" tableBorderDxfId="3603" totalsRowBorderDxfId="3602">
  <autoFilter ref="M14:N18" xr:uid="{345275F6-65FE-4B3E-904A-DB147B4BD5E2}"/>
  <tableColumns count="2">
    <tableColumn id="1" xr3:uid="{749E31E8-64C7-4389-9220-532F29C12AA0}" name="Region" dataDxfId="3601"/>
    <tableColumn id="2" xr3:uid="{166ACBDF-E015-48F1-A604-25220A89001E}" name="Net Sales" dataDxfId="360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3"/>
  <sheetViews>
    <sheetView showGridLines="0" tabSelected="1" zoomScale="60" zoomScaleNormal="60" workbookViewId="0">
      <selection activeCell="S31" sqref="S31"/>
    </sheetView>
  </sheetViews>
  <sheetFormatPr defaultColWidth="16" defaultRowHeight="14.25" x14ac:dyDescent="0.45"/>
  <cols>
    <col min="1" max="1" width="16" bestFit="1" customWidth="1"/>
    <col min="2" max="2" width="16" customWidth="1"/>
    <col min="3" max="3" width="16.06640625" customWidth="1"/>
    <col min="4" max="4" width="14.1328125" customWidth="1"/>
    <col min="5" max="5" width="16" customWidth="1"/>
    <col min="6" max="6" width="36.9296875" customWidth="1"/>
    <col min="7" max="7" width="13.265625" customWidth="1"/>
    <col min="8" max="8" width="16" customWidth="1"/>
    <col min="9" max="9" width="36.9296875" bestFit="1" customWidth="1"/>
    <col min="10" max="10" width="12.19921875" customWidth="1"/>
    <col min="11" max="11" width="17.1328125" customWidth="1"/>
    <col min="12" max="12" width="36.9296875" customWidth="1"/>
    <col min="13" max="13" width="14" bestFit="1" customWidth="1"/>
    <col min="14" max="14" width="14.9296875" customWidth="1"/>
    <col min="15" max="15" width="36.9296875" customWidth="1"/>
    <col min="16" max="16" width="16" customWidth="1"/>
    <col min="17" max="17" width="17" customWidth="1"/>
    <col min="18" max="18" width="16" bestFit="1" customWidth="1"/>
    <col min="19" max="19" width="16.1328125" bestFit="1" customWidth="1"/>
    <col min="22" max="22" width="10.33203125" bestFit="1" customWidth="1"/>
    <col min="23" max="23" width="14.9296875" bestFit="1" customWidth="1"/>
    <col min="24" max="24" width="17.1328125" bestFit="1" customWidth="1"/>
    <col min="25" max="25" width="21.46484375" bestFit="1" customWidth="1"/>
    <col min="26" max="26" width="6.59765625" bestFit="1" customWidth="1"/>
    <col min="27" max="30" width="6.06640625" bestFit="1" customWidth="1"/>
    <col min="31" max="31" width="7.1328125" bestFit="1" customWidth="1"/>
    <col min="32" max="32" width="6.06640625" bestFit="1" customWidth="1"/>
    <col min="33" max="33" width="4" bestFit="1" customWidth="1"/>
    <col min="34" max="35" width="6.06640625" bestFit="1" customWidth="1"/>
    <col min="36" max="37" width="7.1328125" bestFit="1" customWidth="1"/>
    <col min="38" max="38" width="4" bestFit="1" customWidth="1"/>
    <col min="39" max="41" width="6.06640625" bestFit="1" customWidth="1"/>
    <col min="42" max="42" width="7.1328125" bestFit="1" customWidth="1"/>
    <col min="43" max="48" width="6.06640625" bestFit="1" customWidth="1"/>
    <col min="49" max="49" width="4" bestFit="1" customWidth="1"/>
    <col min="50" max="50" width="6.06640625" bestFit="1" customWidth="1"/>
    <col min="51" max="52" width="4" bestFit="1" customWidth="1"/>
    <col min="53" max="55" width="6.06640625" bestFit="1" customWidth="1"/>
    <col min="56" max="56" width="4" bestFit="1" customWidth="1"/>
    <col min="57" max="57" width="7.1328125" bestFit="1" customWidth="1"/>
    <col min="58" max="61" width="6.06640625" bestFit="1" customWidth="1"/>
    <col min="62" max="63" width="4" bestFit="1" customWidth="1"/>
    <col min="64" max="65" width="6.06640625" bestFit="1" customWidth="1"/>
    <col min="66" max="66" width="7.1328125" bestFit="1" customWidth="1"/>
    <col min="67" max="69" width="6.06640625" bestFit="1" customWidth="1"/>
    <col min="70" max="70" width="7.1328125" bestFit="1" customWidth="1"/>
    <col min="71" max="76" width="6.06640625" bestFit="1" customWidth="1"/>
    <col min="77" max="77" width="7.1328125" bestFit="1" customWidth="1"/>
    <col min="78" max="78" width="6.06640625" bestFit="1" customWidth="1"/>
    <col min="79" max="79" width="7.1328125" bestFit="1" customWidth="1"/>
    <col min="80" max="80" width="6.06640625" bestFit="1" customWidth="1"/>
    <col min="81" max="81" width="4" bestFit="1" customWidth="1"/>
    <col min="82" max="82" width="6.06640625" bestFit="1" customWidth="1"/>
    <col min="83" max="84" width="4" bestFit="1" customWidth="1"/>
    <col min="85" max="87" width="6.06640625" bestFit="1" customWidth="1"/>
    <col min="88" max="88" width="4" bestFit="1" customWidth="1"/>
    <col min="89" max="90" width="6.06640625" bestFit="1" customWidth="1"/>
    <col min="91" max="92" width="4" bestFit="1" customWidth="1"/>
    <col min="93" max="95" width="6.06640625" bestFit="1" customWidth="1"/>
    <col min="96" max="96" width="7.1328125" bestFit="1" customWidth="1"/>
    <col min="97" max="98" width="6.06640625" bestFit="1" customWidth="1"/>
    <col min="99" max="99" width="8.1328125" bestFit="1" customWidth="1"/>
    <col min="100" max="101" width="7.1328125" bestFit="1" customWidth="1"/>
    <col min="102" max="102" width="5" bestFit="1" customWidth="1"/>
    <col min="103" max="110" width="7.1328125" bestFit="1" customWidth="1"/>
    <col min="111" max="111" width="5" bestFit="1" customWidth="1"/>
    <col min="112" max="116" width="7.1328125" bestFit="1" customWidth="1"/>
    <col min="117" max="118" width="5" bestFit="1" customWidth="1"/>
    <col min="119" max="125" width="7.1328125" bestFit="1" customWidth="1"/>
    <col min="126" max="126" width="8.1328125" bestFit="1" customWidth="1"/>
    <col min="127" max="129" width="7.1328125" bestFit="1" customWidth="1"/>
    <col min="130" max="130" width="8.1328125" bestFit="1" customWidth="1"/>
    <col min="131" max="139" width="7.1328125" bestFit="1" customWidth="1"/>
    <col min="140" max="142" width="5" bestFit="1" customWidth="1"/>
    <col min="143" max="143" width="7.1328125" bestFit="1" customWidth="1"/>
    <col min="144" max="144" width="8.1328125" bestFit="1" customWidth="1"/>
    <col min="145" max="145" width="5" bestFit="1" customWidth="1"/>
    <col min="146" max="148" width="7.1328125" bestFit="1" customWidth="1"/>
    <col min="149" max="149" width="8.1328125" bestFit="1" customWidth="1"/>
    <col min="150" max="150" width="7.1328125" bestFit="1" customWidth="1"/>
    <col min="151" max="151" width="5" bestFit="1" customWidth="1"/>
    <col min="152" max="152" width="7.1328125" bestFit="1" customWidth="1"/>
    <col min="153" max="153" width="5" bestFit="1" customWidth="1"/>
    <col min="154" max="155" width="7.1328125" bestFit="1" customWidth="1"/>
    <col min="156" max="156" width="5" bestFit="1" customWidth="1"/>
    <col min="157" max="159" width="7.1328125" bestFit="1" customWidth="1"/>
    <col min="160" max="160" width="5" bestFit="1" customWidth="1"/>
    <col min="161" max="161" width="7.1328125" bestFit="1" customWidth="1"/>
    <col min="162" max="162" width="5" bestFit="1" customWidth="1"/>
    <col min="163" max="163" width="7.1328125" bestFit="1" customWidth="1"/>
    <col min="164" max="164" width="8.1328125" bestFit="1" customWidth="1"/>
    <col min="165" max="167" width="7.1328125" bestFit="1" customWidth="1"/>
    <col min="168" max="169" width="5" bestFit="1" customWidth="1"/>
    <col min="170" max="170" width="7.1328125" bestFit="1" customWidth="1"/>
    <col min="171" max="171" width="5" bestFit="1" customWidth="1"/>
    <col min="172" max="172" width="7.1328125" bestFit="1" customWidth="1"/>
    <col min="173" max="173" width="5" bestFit="1" customWidth="1"/>
    <col min="174" max="174" width="7.1328125" bestFit="1" customWidth="1"/>
    <col min="175" max="175" width="8.1328125" bestFit="1" customWidth="1"/>
    <col min="176" max="176" width="5" bestFit="1" customWidth="1"/>
    <col min="177" max="180" width="7.1328125" bestFit="1" customWidth="1"/>
    <col min="181" max="182" width="5" bestFit="1" customWidth="1"/>
    <col min="183" max="185" width="7.1328125" bestFit="1" customWidth="1"/>
    <col min="186" max="187" width="5" bestFit="1" customWidth="1"/>
    <col min="188" max="189" width="7.1328125" bestFit="1" customWidth="1"/>
    <col min="190" max="190" width="5" bestFit="1" customWidth="1"/>
    <col min="191" max="191" width="8.1328125" bestFit="1" customWidth="1"/>
    <col min="192" max="192" width="7.1328125" bestFit="1" customWidth="1"/>
    <col min="193" max="193" width="5" bestFit="1" customWidth="1"/>
    <col min="194" max="194" width="7.1328125" bestFit="1" customWidth="1"/>
    <col min="195" max="195" width="5" bestFit="1" customWidth="1"/>
    <col min="196" max="197" width="7.1328125" bestFit="1" customWidth="1"/>
    <col min="198" max="198" width="5" bestFit="1" customWidth="1"/>
    <col min="199" max="199" width="8.1328125" bestFit="1" customWidth="1"/>
    <col min="200" max="200" width="5" bestFit="1" customWidth="1"/>
    <col min="201" max="201" width="7.1328125" bestFit="1" customWidth="1"/>
    <col min="202" max="203" width="5" bestFit="1" customWidth="1"/>
    <col min="204" max="204" width="7.1328125" bestFit="1" customWidth="1"/>
    <col min="205" max="205" width="5" bestFit="1" customWidth="1"/>
    <col min="206" max="206" width="7.1328125" bestFit="1" customWidth="1"/>
    <col min="207" max="207" width="5" bestFit="1" customWidth="1"/>
    <col min="208" max="208" width="7.1328125" bestFit="1" customWidth="1"/>
    <col min="209" max="209" width="5" bestFit="1" customWidth="1"/>
    <col min="210" max="210" width="7.1328125" bestFit="1" customWidth="1"/>
    <col min="211" max="211" width="8.1328125" bestFit="1" customWidth="1"/>
    <col min="212" max="215" width="7.1328125" bestFit="1" customWidth="1"/>
    <col min="216" max="217" width="5" bestFit="1" customWidth="1"/>
    <col min="218" max="218" width="7.1328125" bestFit="1" customWidth="1"/>
    <col min="219" max="221" width="5" bestFit="1" customWidth="1"/>
    <col min="222" max="225" width="7.1328125" bestFit="1" customWidth="1"/>
    <col min="226" max="226" width="5" bestFit="1" customWidth="1"/>
    <col min="227" max="227" width="7.1328125" bestFit="1" customWidth="1"/>
    <col min="228" max="229" width="5" bestFit="1" customWidth="1"/>
    <col min="230" max="234" width="7.1328125" bestFit="1" customWidth="1"/>
    <col min="235" max="235" width="8.1328125" bestFit="1" customWidth="1"/>
    <col min="236" max="236" width="5" bestFit="1" customWidth="1"/>
    <col min="237" max="237" width="7.1328125" bestFit="1" customWidth="1"/>
    <col min="238" max="238" width="5" bestFit="1" customWidth="1"/>
    <col min="239" max="239" width="7.1328125" bestFit="1" customWidth="1"/>
    <col min="240" max="240" width="5" bestFit="1" customWidth="1"/>
    <col min="241" max="242" width="7.1328125" bestFit="1" customWidth="1"/>
    <col min="243" max="243" width="5" bestFit="1" customWidth="1"/>
    <col min="244" max="244" width="7.1328125" bestFit="1" customWidth="1"/>
    <col min="245" max="245" width="5" bestFit="1" customWidth="1"/>
    <col min="246" max="248" width="7.1328125" bestFit="1" customWidth="1"/>
    <col min="249" max="249" width="8.1328125" bestFit="1" customWidth="1"/>
    <col min="250" max="250" width="5" bestFit="1" customWidth="1"/>
    <col min="251" max="253" width="7.1328125" bestFit="1" customWidth="1"/>
    <col min="254" max="254" width="5" bestFit="1" customWidth="1"/>
    <col min="255" max="255" width="8.1328125" bestFit="1" customWidth="1"/>
    <col min="256" max="257" width="7.1328125" bestFit="1" customWidth="1"/>
    <col min="258" max="259" width="5" bestFit="1" customWidth="1"/>
    <col min="260" max="261" width="7.1328125" bestFit="1" customWidth="1"/>
    <col min="262" max="262" width="5" bestFit="1" customWidth="1"/>
    <col min="263" max="263" width="7.1328125" bestFit="1" customWidth="1"/>
    <col min="264" max="264" width="5" bestFit="1" customWidth="1"/>
    <col min="265" max="265" width="8.1328125" bestFit="1" customWidth="1"/>
    <col min="266" max="267" width="7.1328125" bestFit="1" customWidth="1"/>
    <col min="268" max="268" width="5" bestFit="1" customWidth="1"/>
    <col min="269" max="269" width="7.1328125" bestFit="1" customWidth="1"/>
    <col min="270" max="270" width="5" bestFit="1" customWidth="1"/>
    <col min="271" max="273" width="7.1328125" bestFit="1" customWidth="1"/>
    <col min="274" max="275" width="5" bestFit="1" customWidth="1"/>
    <col min="276" max="279" width="7.1328125" bestFit="1" customWidth="1"/>
    <col min="280" max="280" width="5" bestFit="1" customWidth="1"/>
    <col min="281" max="281" width="7.1328125" bestFit="1" customWidth="1"/>
    <col min="282" max="282" width="5" bestFit="1" customWidth="1"/>
    <col min="283" max="283" width="7.1328125" bestFit="1" customWidth="1"/>
    <col min="284" max="284" width="8.1328125" bestFit="1" customWidth="1"/>
    <col min="285" max="286" width="5" bestFit="1" customWidth="1"/>
    <col min="287" max="287" width="7.1328125" bestFit="1" customWidth="1"/>
    <col min="288" max="288" width="5" bestFit="1" customWidth="1"/>
    <col min="289" max="293" width="7.1328125" bestFit="1" customWidth="1"/>
    <col min="294" max="294" width="8.1328125" bestFit="1" customWidth="1"/>
    <col min="295" max="297" width="7.1328125" bestFit="1" customWidth="1"/>
    <col min="298" max="299" width="5" bestFit="1" customWidth="1"/>
    <col min="300" max="300" width="7.1328125" bestFit="1" customWidth="1"/>
    <col min="301" max="302" width="5" bestFit="1" customWidth="1"/>
    <col min="303" max="306" width="7.1328125" bestFit="1" customWidth="1"/>
    <col min="307" max="307" width="8.1328125" bestFit="1" customWidth="1"/>
    <col min="308" max="308" width="7.1328125" bestFit="1" customWidth="1"/>
    <col min="309" max="309" width="5" bestFit="1" customWidth="1"/>
    <col min="310" max="310" width="7.1328125" bestFit="1" customWidth="1"/>
    <col min="311" max="311" width="5" bestFit="1" customWidth="1"/>
    <col min="312" max="312" width="7.1328125" bestFit="1" customWidth="1"/>
    <col min="313" max="313" width="8.1328125" bestFit="1" customWidth="1"/>
    <col min="314" max="315" width="7.1328125" bestFit="1" customWidth="1"/>
    <col min="316" max="316" width="8.1328125" bestFit="1" customWidth="1"/>
    <col min="317" max="318" width="7.1328125" bestFit="1" customWidth="1"/>
    <col min="319" max="319" width="5" bestFit="1" customWidth="1"/>
    <col min="320" max="323" width="7.1328125" bestFit="1" customWidth="1"/>
    <col min="324" max="324" width="5" bestFit="1" customWidth="1"/>
    <col min="325" max="327" width="7.1328125" bestFit="1" customWidth="1"/>
    <col min="328" max="328" width="5" bestFit="1" customWidth="1"/>
    <col min="329" max="334" width="7.1328125" bestFit="1" customWidth="1"/>
    <col min="335" max="335" width="8.1328125" bestFit="1" customWidth="1"/>
    <col min="336" max="338" width="7.1328125" bestFit="1" customWidth="1"/>
    <col min="339" max="339" width="5" bestFit="1" customWidth="1"/>
    <col min="340" max="343" width="7.1328125" bestFit="1" customWidth="1"/>
    <col min="344" max="344" width="5" bestFit="1" customWidth="1"/>
    <col min="345" max="345" width="7.1328125" bestFit="1" customWidth="1"/>
    <col min="346" max="346" width="5" bestFit="1" customWidth="1"/>
    <col min="347" max="348" width="7.1328125" bestFit="1" customWidth="1"/>
    <col min="349" max="350" width="5" bestFit="1" customWidth="1"/>
    <col min="351" max="351" width="8.1328125" bestFit="1" customWidth="1"/>
    <col min="352" max="357" width="7.1328125" bestFit="1" customWidth="1"/>
    <col min="358" max="358" width="5" bestFit="1" customWidth="1"/>
    <col min="359" max="359" width="7.1328125" bestFit="1" customWidth="1"/>
    <col min="360" max="360" width="5" bestFit="1" customWidth="1"/>
    <col min="361" max="366" width="7.1328125" bestFit="1" customWidth="1"/>
    <col min="367" max="367" width="5" bestFit="1" customWidth="1"/>
    <col min="368" max="371" width="7.1328125" bestFit="1" customWidth="1"/>
    <col min="372" max="372" width="8.1328125" bestFit="1" customWidth="1"/>
    <col min="373" max="374" width="5" bestFit="1" customWidth="1"/>
    <col min="375" max="375" width="7.1328125" bestFit="1" customWidth="1"/>
    <col min="376" max="376" width="5" bestFit="1" customWidth="1"/>
    <col min="377" max="379" width="7.1328125" bestFit="1" customWidth="1"/>
    <col min="380" max="380" width="5" bestFit="1" customWidth="1"/>
    <col min="381" max="381" width="7.1328125" bestFit="1" customWidth="1"/>
    <col min="382" max="382" width="8.1328125" bestFit="1" customWidth="1"/>
    <col min="383" max="387" width="7.1328125" bestFit="1" customWidth="1"/>
    <col min="388" max="388" width="5" bestFit="1" customWidth="1"/>
    <col min="389" max="389" width="7.1328125" bestFit="1" customWidth="1"/>
    <col min="390" max="390" width="5" bestFit="1" customWidth="1"/>
    <col min="391" max="391" width="8.1328125" bestFit="1" customWidth="1"/>
    <col min="392" max="394" width="7.1328125" bestFit="1" customWidth="1"/>
    <col min="395" max="396" width="5" bestFit="1" customWidth="1"/>
    <col min="397" max="398" width="7.1328125" bestFit="1" customWidth="1"/>
    <col min="399" max="400" width="8.1328125" bestFit="1" customWidth="1"/>
    <col min="401" max="401" width="7.1328125" bestFit="1" customWidth="1"/>
    <col min="402" max="402" width="5" bestFit="1" customWidth="1"/>
    <col min="403" max="403" width="7.1328125" bestFit="1" customWidth="1"/>
    <col min="404" max="404" width="5" bestFit="1" customWidth="1"/>
    <col min="405" max="410" width="7.1328125" bestFit="1" customWidth="1"/>
    <col min="411" max="411" width="5" bestFit="1" customWidth="1"/>
    <col min="412" max="412" width="7.1328125" bestFit="1" customWidth="1"/>
    <col min="413" max="413" width="5" bestFit="1" customWidth="1"/>
    <col min="414" max="414" width="7.1328125" bestFit="1" customWidth="1"/>
    <col min="415" max="416" width="8.1328125" bestFit="1" customWidth="1"/>
    <col min="417" max="417" width="5" bestFit="1" customWidth="1"/>
    <col min="418" max="421" width="7.1328125" bestFit="1" customWidth="1"/>
    <col min="422" max="422" width="8.1328125" bestFit="1" customWidth="1"/>
    <col min="423" max="423" width="5" bestFit="1" customWidth="1"/>
    <col min="424" max="425" width="7.1328125" bestFit="1" customWidth="1"/>
    <col min="426" max="427" width="5" bestFit="1" customWidth="1"/>
    <col min="428" max="434" width="7.1328125" bestFit="1" customWidth="1"/>
    <col min="435" max="435" width="5" bestFit="1" customWidth="1"/>
    <col min="436" max="436" width="7.1328125" bestFit="1" customWidth="1"/>
    <col min="437" max="437" width="5" bestFit="1" customWidth="1"/>
    <col min="438" max="438" width="8.1328125" bestFit="1" customWidth="1"/>
    <col min="439" max="440" width="7.1328125" bestFit="1" customWidth="1"/>
    <col min="441" max="442" width="5" bestFit="1" customWidth="1"/>
    <col min="443" max="443" width="7.1328125" bestFit="1" customWidth="1"/>
    <col min="444" max="445" width="5" bestFit="1" customWidth="1"/>
    <col min="446" max="447" width="7.1328125" bestFit="1" customWidth="1"/>
    <col min="448" max="448" width="5" bestFit="1" customWidth="1"/>
    <col min="449" max="454" width="7.1328125" bestFit="1" customWidth="1"/>
    <col min="455" max="455" width="5" bestFit="1" customWidth="1"/>
    <col min="456" max="459" width="7.1328125" bestFit="1" customWidth="1"/>
    <col min="460" max="460" width="8.1328125" bestFit="1" customWidth="1"/>
    <col min="461" max="461" width="5" bestFit="1" customWidth="1"/>
    <col min="462" max="462" width="8.1328125" bestFit="1" customWidth="1"/>
    <col min="463" max="463" width="7.1328125" bestFit="1" customWidth="1"/>
    <col min="464" max="464" width="5" bestFit="1" customWidth="1"/>
    <col min="465" max="465" width="7.1328125" bestFit="1" customWidth="1"/>
    <col min="466" max="468" width="5" bestFit="1" customWidth="1"/>
    <col min="469" max="469" width="8.1328125" bestFit="1" customWidth="1"/>
    <col min="470" max="475" width="7.1328125" bestFit="1" customWidth="1"/>
    <col min="476" max="476" width="8.1328125" bestFit="1" customWidth="1"/>
    <col min="477" max="479" width="7.1328125" bestFit="1" customWidth="1"/>
    <col min="480" max="480" width="8.1328125" bestFit="1" customWidth="1"/>
    <col min="481" max="481" width="7.1328125" bestFit="1" customWidth="1"/>
    <col min="482" max="483" width="5" bestFit="1" customWidth="1"/>
    <col min="484" max="484" width="7.1328125" bestFit="1" customWidth="1"/>
    <col min="485" max="485" width="5" bestFit="1" customWidth="1"/>
    <col min="486" max="486" width="7.1328125" bestFit="1" customWidth="1"/>
    <col min="487" max="487" width="8.1328125" bestFit="1" customWidth="1"/>
    <col min="488" max="488" width="5" bestFit="1" customWidth="1"/>
    <col min="489" max="489" width="7.1328125" bestFit="1" customWidth="1"/>
    <col min="490" max="491" width="5" bestFit="1" customWidth="1"/>
    <col min="492" max="492" width="7.1328125" bestFit="1" customWidth="1"/>
    <col min="493" max="493" width="5" bestFit="1" customWidth="1"/>
    <col min="494" max="496" width="7.1328125" bestFit="1" customWidth="1"/>
    <col min="497" max="499" width="5" bestFit="1" customWidth="1"/>
    <col min="500" max="500" width="7.1328125" bestFit="1" customWidth="1"/>
    <col min="501" max="502" width="5" bestFit="1" customWidth="1"/>
    <col min="503" max="505" width="7.1328125" bestFit="1" customWidth="1"/>
    <col min="506" max="508" width="5" bestFit="1" customWidth="1"/>
    <col min="509" max="509" width="8.1328125" bestFit="1" customWidth="1"/>
    <col min="510" max="510" width="7.1328125" bestFit="1" customWidth="1"/>
    <col min="511" max="511" width="8.1328125" bestFit="1" customWidth="1"/>
    <col min="512" max="515" width="7.1328125" bestFit="1" customWidth="1"/>
    <col min="516" max="516" width="8.1328125" bestFit="1" customWidth="1"/>
    <col min="517" max="519" width="7.1328125" bestFit="1" customWidth="1"/>
    <col min="520" max="520" width="8.1328125" bestFit="1" customWidth="1"/>
    <col min="521" max="521" width="7.1328125" bestFit="1" customWidth="1"/>
    <col min="522" max="525" width="5" bestFit="1" customWidth="1"/>
    <col min="526" max="527" width="7.1328125" bestFit="1" customWidth="1"/>
    <col min="528" max="528" width="5" bestFit="1" customWidth="1"/>
    <col min="529" max="532" width="7.1328125" bestFit="1" customWidth="1"/>
    <col min="533" max="533" width="8.1328125" bestFit="1" customWidth="1"/>
    <col min="534" max="534" width="5" bestFit="1" customWidth="1"/>
    <col min="535" max="535" width="8.1328125" bestFit="1" customWidth="1"/>
    <col min="536" max="538" width="7.1328125" bestFit="1" customWidth="1"/>
    <col min="539" max="539" width="8.1328125" bestFit="1" customWidth="1"/>
    <col min="540" max="541" width="7.1328125" bestFit="1" customWidth="1"/>
    <col min="542" max="542" width="5" bestFit="1" customWidth="1"/>
    <col min="543" max="543" width="7.1328125" bestFit="1" customWidth="1"/>
    <col min="544" max="544" width="8.1328125" bestFit="1" customWidth="1"/>
    <col min="545" max="546" width="7.1328125" bestFit="1" customWidth="1"/>
    <col min="547" max="547" width="5" bestFit="1" customWidth="1"/>
    <col min="548" max="552" width="7.1328125" bestFit="1" customWidth="1"/>
    <col min="553" max="553" width="8.1328125" bestFit="1" customWidth="1"/>
    <col min="554" max="555" width="7.1328125" bestFit="1" customWidth="1"/>
    <col min="556" max="556" width="5" bestFit="1" customWidth="1"/>
    <col min="557" max="558" width="7.1328125" bestFit="1" customWidth="1"/>
    <col min="559" max="559" width="8.1328125" bestFit="1" customWidth="1"/>
    <col min="560" max="560" width="5" bestFit="1" customWidth="1"/>
    <col min="561" max="563" width="7.1328125" bestFit="1" customWidth="1"/>
    <col min="564" max="564" width="5" bestFit="1" customWidth="1"/>
    <col min="565" max="566" width="7.1328125" bestFit="1" customWidth="1"/>
    <col min="567" max="567" width="5" bestFit="1" customWidth="1"/>
    <col min="568" max="573" width="7.1328125" bestFit="1" customWidth="1"/>
    <col min="574" max="576" width="5" bestFit="1" customWidth="1"/>
    <col min="577" max="578" width="7.1328125" bestFit="1" customWidth="1"/>
    <col min="579" max="579" width="5" bestFit="1" customWidth="1"/>
    <col min="580" max="581" width="7.1328125" bestFit="1" customWidth="1"/>
    <col min="582" max="582" width="5" bestFit="1" customWidth="1"/>
    <col min="583" max="585" width="7.1328125" bestFit="1" customWidth="1"/>
    <col min="586" max="587" width="5" bestFit="1" customWidth="1"/>
    <col min="588" max="589" width="7.1328125" bestFit="1" customWidth="1"/>
    <col min="590" max="593" width="5" bestFit="1" customWidth="1"/>
    <col min="594" max="598" width="7.1328125" bestFit="1" customWidth="1"/>
    <col min="599" max="601" width="5" bestFit="1" customWidth="1"/>
    <col min="602" max="605" width="7.1328125" bestFit="1" customWidth="1"/>
    <col min="606" max="606" width="5" bestFit="1" customWidth="1"/>
    <col min="607" max="609" width="7.1328125" bestFit="1" customWidth="1"/>
    <col min="610" max="611" width="5" bestFit="1" customWidth="1"/>
    <col min="612" max="614" width="7.1328125" bestFit="1" customWidth="1"/>
    <col min="615" max="616" width="5" bestFit="1" customWidth="1"/>
    <col min="617" max="617" width="7.1328125" bestFit="1" customWidth="1"/>
    <col min="618" max="619" width="5" bestFit="1" customWidth="1"/>
    <col min="620" max="620" width="7.1328125" bestFit="1" customWidth="1"/>
    <col min="621" max="622" width="5" bestFit="1" customWidth="1"/>
    <col min="623" max="628" width="7.1328125" bestFit="1" customWidth="1"/>
    <col min="629" max="629" width="5" bestFit="1" customWidth="1"/>
    <col min="630" max="630" width="7.1328125" bestFit="1" customWidth="1"/>
    <col min="631" max="631" width="5" bestFit="1" customWidth="1"/>
    <col min="632" max="632" width="7.1328125" bestFit="1" customWidth="1"/>
    <col min="633" max="633" width="5" bestFit="1" customWidth="1"/>
    <col min="634" max="636" width="7.1328125" bestFit="1" customWidth="1"/>
    <col min="637" max="638" width="5" bestFit="1" customWidth="1"/>
    <col min="639" max="642" width="7.1328125" bestFit="1" customWidth="1"/>
    <col min="643" max="644" width="5" bestFit="1" customWidth="1"/>
    <col min="645" max="645" width="7.1328125" bestFit="1" customWidth="1"/>
    <col min="646" max="647" width="5" bestFit="1" customWidth="1"/>
    <col min="648" max="648" width="7.1328125" bestFit="1" customWidth="1"/>
    <col min="649" max="652" width="5" bestFit="1" customWidth="1"/>
    <col min="653" max="661" width="7.1328125" bestFit="1" customWidth="1"/>
    <col min="662" max="662" width="5" bestFit="1" customWidth="1"/>
    <col min="663" max="664" width="7.1328125" bestFit="1" customWidth="1"/>
    <col min="665" max="666" width="5" bestFit="1" customWidth="1"/>
    <col min="667" max="668" width="7.1328125" bestFit="1" customWidth="1"/>
    <col min="669" max="672" width="5" bestFit="1" customWidth="1"/>
    <col min="673" max="673" width="7.1328125" bestFit="1" customWidth="1"/>
    <col min="674" max="675" width="5" bestFit="1" customWidth="1"/>
    <col min="676" max="677" width="6.06640625" bestFit="1" customWidth="1"/>
    <col min="678" max="680" width="8.1328125" bestFit="1" customWidth="1"/>
    <col min="681" max="681" width="6.06640625" bestFit="1" customWidth="1"/>
    <col min="682" max="683" width="8.1328125" bestFit="1" customWidth="1"/>
    <col min="684" max="684" width="6.06640625" bestFit="1" customWidth="1"/>
    <col min="685" max="685" width="8.1328125" bestFit="1" customWidth="1"/>
    <col min="686" max="686" width="6.06640625" bestFit="1" customWidth="1"/>
    <col min="687" max="687" width="8.1328125" bestFit="1" customWidth="1"/>
    <col min="688" max="689" width="6.06640625" bestFit="1" customWidth="1"/>
    <col min="690" max="691" width="8.1328125" bestFit="1" customWidth="1"/>
    <col min="692" max="692" width="6.06640625" bestFit="1" customWidth="1"/>
    <col min="693" max="694" width="8.1328125" bestFit="1" customWidth="1"/>
    <col min="695" max="697" width="6.06640625" bestFit="1" customWidth="1"/>
    <col min="698" max="698" width="8.1328125" bestFit="1" customWidth="1"/>
    <col min="699" max="699" width="6.06640625" bestFit="1" customWidth="1"/>
    <col min="700" max="700" width="8.1328125" bestFit="1" customWidth="1"/>
    <col min="701" max="701" width="6.06640625" bestFit="1" customWidth="1"/>
    <col min="702" max="705" width="8.1328125" bestFit="1" customWidth="1"/>
    <col min="706" max="707" width="6.06640625" bestFit="1" customWidth="1"/>
    <col min="708" max="709" width="8.1328125" bestFit="1" customWidth="1"/>
    <col min="710" max="711" width="6.06640625" bestFit="1" customWidth="1"/>
    <col min="712" max="712" width="8.1328125" bestFit="1" customWidth="1"/>
    <col min="713" max="714" width="6.06640625" bestFit="1" customWidth="1"/>
    <col min="715" max="719" width="8.1328125" bestFit="1" customWidth="1"/>
    <col min="720" max="721" width="6.06640625" bestFit="1" customWidth="1"/>
    <col min="722" max="725" width="8.1328125" bestFit="1" customWidth="1"/>
    <col min="726" max="726" width="6.06640625" bestFit="1" customWidth="1"/>
    <col min="727" max="730" width="8.1328125" bestFit="1" customWidth="1"/>
    <col min="731" max="731" width="6.06640625" bestFit="1" customWidth="1"/>
    <col min="732" max="732" width="8.1328125" bestFit="1" customWidth="1"/>
    <col min="733" max="734" width="6.06640625" bestFit="1" customWidth="1"/>
    <col min="735" max="738" width="8.1328125" bestFit="1" customWidth="1"/>
    <col min="739" max="739" width="6.06640625" bestFit="1" customWidth="1"/>
    <col min="740" max="740" width="8.1328125" bestFit="1" customWidth="1"/>
    <col min="741" max="741" width="6.06640625" bestFit="1" customWidth="1"/>
    <col min="742" max="745" width="8.1328125" bestFit="1" customWidth="1"/>
    <col min="746" max="749" width="6.06640625" bestFit="1" customWidth="1"/>
    <col min="750" max="750" width="8.1328125" bestFit="1" customWidth="1"/>
    <col min="751" max="752" width="6.06640625" bestFit="1" customWidth="1"/>
    <col min="753" max="754" width="8.1328125" bestFit="1" customWidth="1"/>
    <col min="755" max="755" width="6.06640625" bestFit="1" customWidth="1"/>
    <col min="756" max="757" width="8.1328125" bestFit="1" customWidth="1"/>
    <col min="758" max="766" width="6.06640625" bestFit="1" customWidth="1"/>
    <col min="767" max="767" width="8.1328125" bestFit="1" customWidth="1"/>
    <col min="768" max="768" width="6.06640625" bestFit="1" customWidth="1"/>
    <col min="769" max="769" width="8.1328125" bestFit="1" customWidth="1"/>
    <col min="770" max="770" width="6.06640625" bestFit="1" customWidth="1"/>
    <col min="771" max="772" width="8.1328125" bestFit="1" customWidth="1"/>
    <col min="773" max="776" width="6.06640625" bestFit="1" customWidth="1"/>
    <col min="777" max="780" width="8.1328125" bestFit="1" customWidth="1"/>
    <col min="781" max="781" width="6.06640625" bestFit="1" customWidth="1"/>
    <col min="782" max="782" width="8.1328125" bestFit="1" customWidth="1"/>
    <col min="783" max="786" width="6.06640625" bestFit="1" customWidth="1"/>
    <col min="787" max="787" width="8.1328125" bestFit="1" customWidth="1"/>
    <col min="788" max="789" width="6.06640625" bestFit="1" customWidth="1"/>
    <col min="790" max="790" width="8.1328125" bestFit="1" customWidth="1"/>
    <col min="791" max="793" width="6.06640625" bestFit="1" customWidth="1"/>
    <col min="794" max="794" width="8.1328125" bestFit="1" customWidth="1"/>
    <col min="795" max="795" width="6.06640625" bestFit="1" customWidth="1"/>
    <col min="796" max="796" width="8.1328125" bestFit="1" customWidth="1"/>
    <col min="797" max="797" width="6.06640625" bestFit="1" customWidth="1"/>
    <col min="798" max="800" width="8.1328125" bestFit="1" customWidth="1"/>
    <col min="801" max="801" width="6.06640625" bestFit="1" customWidth="1"/>
    <col min="802" max="802" width="8.1328125" bestFit="1" customWidth="1"/>
    <col min="803" max="803" width="6.06640625" bestFit="1" customWidth="1"/>
    <col min="804" max="804" width="8.1328125" bestFit="1" customWidth="1"/>
    <col min="805" max="806" width="6.06640625" bestFit="1" customWidth="1"/>
    <col min="807" max="808" width="8.1328125" bestFit="1" customWidth="1"/>
    <col min="809" max="811" width="6.06640625" bestFit="1" customWidth="1"/>
    <col min="812" max="812" width="8.1328125" bestFit="1" customWidth="1"/>
    <col min="813" max="815" width="6.06640625" bestFit="1" customWidth="1"/>
    <col min="816" max="818" width="8.1328125" bestFit="1" customWidth="1"/>
    <col min="819" max="819" width="6.06640625" bestFit="1" customWidth="1"/>
    <col min="820" max="820" width="8.1328125" bestFit="1" customWidth="1"/>
    <col min="821" max="825" width="6.06640625" bestFit="1" customWidth="1"/>
    <col min="826" max="830" width="8.1328125" bestFit="1" customWidth="1"/>
    <col min="831" max="832" width="6.06640625" bestFit="1" customWidth="1"/>
    <col min="833" max="833" width="8.1328125" bestFit="1" customWidth="1"/>
    <col min="834" max="835" width="6.06640625" bestFit="1" customWidth="1"/>
    <col min="836" max="839" width="8.1328125" bestFit="1" customWidth="1"/>
    <col min="840" max="841" width="6.06640625" bestFit="1" customWidth="1"/>
    <col min="842" max="842" width="8.1328125" bestFit="1" customWidth="1"/>
    <col min="843" max="843" width="6.06640625" bestFit="1" customWidth="1"/>
    <col min="844" max="844" width="8.1328125" bestFit="1" customWidth="1"/>
    <col min="845" max="845" width="6.06640625" bestFit="1" customWidth="1"/>
    <col min="846" max="854" width="8.1328125" bestFit="1" customWidth="1"/>
    <col min="855" max="858" width="6.06640625" bestFit="1" customWidth="1"/>
    <col min="859" max="860" width="8.1328125" bestFit="1" customWidth="1"/>
    <col min="861" max="862" width="6.06640625" bestFit="1" customWidth="1"/>
    <col min="863" max="863" width="8.1328125" bestFit="1" customWidth="1"/>
    <col min="864" max="864" width="6.06640625" bestFit="1" customWidth="1"/>
    <col min="865" max="865" width="8.1328125" bestFit="1" customWidth="1"/>
    <col min="866" max="867" width="6.06640625" bestFit="1" customWidth="1"/>
    <col min="868" max="869" width="8.1328125" bestFit="1" customWidth="1"/>
    <col min="870" max="870" width="6.06640625" bestFit="1" customWidth="1"/>
    <col min="871" max="872" width="8.1328125" bestFit="1" customWidth="1"/>
    <col min="873" max="879" width="6.06640625" bestFit="1" customWidth="1"/>
    <col min="880" max="884" width="8.1328125" bestFit="1" customWidth="1"/>
    <col min="885" max="887" width="6.06640625" bestFit="1" customWidth="1"/>
    <col min="888" max="889" width="8.1328125" bestFit="1" customWidth="1"/>
    <col min="890" max="890" width="6.06640625" bestFit="1" customWidth="1"/>
    <col min="891" max="893" width="8.1328125" bestFit="1" customWidth="1"/>
    <col min="894" max="898" width="6.06640625" bestFit="1" customWidth="1"/>
    <col min="899" max="900" width="8.1328125" bestFit="1" customWidth="1"/>
    <col min="901" max="903" width="6.06640625" bestFit="1" customWidth="1"/>
    <col min="904" max="904" width="8.1328125" bestFit="1" customWidth="1"/>
    <col min="905" max="909" width="6.06640625" bestFit="1" customWidth="1"/>
    <col min="910" max="910" width="8.1328125" bestFit="1" customWidth="1"/>
    <col min="911" max="911" width="6.06640625" bestFit="1" customWidth="1"/>
    <col min="912" max="912" width="8.1328125" bestFit="1" customWidth="1"/>
    <col min="913" max="913" width="6.06640625" bestFit="1" customWidth="1"/>
    <col min="914" max="914" width="8.1328125" bestFit="1" customWidth="1"/>
    <col min="915" max="916" width="6.06640625" bestFit="1" customWidth="1"/>
    <col min="917" max="917" width="8.1328125" bestFit="1" customWidth="1"/>
    <col min="918" max="920" width="6.06640625" bestFit="1" customWidth="1"/>
    <col min="921" max="921" width="8.1328125" bestFit="1" customWidth="1"/>
    <col min="922" max="923" width="6.06640625" bestFit="1" customWidth="1"/>
    <col min="924" max="925" width="8.1328125" bestFit="1" customWidth="1"/>
    <col min="926" max="926" width="6.06640625" bestFit="1" customWidth="1"/>
    <col min="927" max="927" width="8.1328125" bestFit="1" customWidth="1"/>
    <col min="928" max="935" width="6.06640625" bestFit="1" customWidth="1"/>
    <col min="936" max="936" width="8.1328125" bestFit="1" customWidth="1"/>
    <col min="937" max="937" width="6.06640625" bestFit="1" customWidth="1"/>
    <col min="938" max="938" width="8.1328125" bestFit="1" customWidth="1"/>
    <col min="939" max="943" width="6.06640625" bestFit="1" customWidth="1"/>
    <col min="944" max="944" width="8.1328125" bestFit="1" customWidth="1"/>
    <col min="945" max="946" width="6.06640625" bestFit="1" customWidth="1"/>
    <col min="947" max="948" width="8.1328125" bestFit="1" customWidth="1"/>
    <col min="949" max="950" width="6.06640625" bestFit="1" customWidth="1"/>
    <col min="951" max="951" width="8.1328125" bestFit="1" customWidth="1"/>
    <col min="952" max="952" width="6.06640625" bestFit="1" customWidth="1"/>
    <col min="953" max="953" width="8.1328125" bestFit="1" customWidth="1"/>
    <col min="954" max="956" width="6.06640625" bestFit="1" customWidth="1"/>
    <col min="957" max="958" width="8.1328125" bestFit="1" customWidth="1"/>
    <col min="959" max="961" width="6.06640625" bestFit="1" customWidth="1"/>
    <col min="962" max="962" width="10.33203125" bestFit="1" customWidth="1"/>
    <col min="963" max="963" width="6.06640625" bestFit="1" customWidth="1"/>
    <col min="964" max="964" width="8.1328125" bestFit="1" customWidth="1"/>
    <col min="965" max="965" width="6.06640625" bestFit="1" customWidth="1"/>
    <col min="966" max="969" width="8.1328125" bestFit="1" customWidth="1"/>
    <col min="970" max="971" width="6.06640625" bestFit="1" customWidth="1"/>
    <col min="972" max="972" width="8.1328125" bestFit="1" customWidth="1"/>
    <col min="973" max="973" width="6.06640625" bestFit="1" customWidth="1"/>
    <col min="974" max="976" width="8.1328125" bestFit="1" customWidth="1"/>
    <col min="977" max="977" width="6.06640625" bestFit="1" customWidth="1"/>
    <col min="978" max="978" width="8.1328125" bestFit="1" customWidth="1"/>
    <col min="979" max="979" width="6.06640625" bestFit="1" customWidth="1"/>
    <col min="980" max="980" width="8.1328125" bestFit="1" customWidth="1"/>
    <col min="981" max="982" width="6.06640625" bestFit="1" customWidth="1"/>
    <col min="983" max="983" width="8.1328125" bestFit="1" customWidth="1"/>
    <col min="984" max="984" width="6.06640625" bestFit="1" customWidth="1"/>
    <col min="985" max="987" width="8.1328125" bestFit="1" customWidth="1"/>
    <col min="988" max="988" width="6.06640625" bestFit="1" customWidth="1"/>
    <col min="989" max="993" width="8.1328125" bestFit="1" customWidth="1"/>
    <col min="994" max="994" width="6.06640625" bestFit="1" customWidth="1"/>
    <col min="995" max="997" width="8.1328125" bestFit="1" customWidth="1"/>
    <col min="998" max="998" width="8.33203125" bestFit="1" customWidth="1"/>
    <col min="999" max="999" width="10.33203125" bestFit="1" customWidth="1"/>
  </cols>
  <sheetData>
    <row r="1" spans="1:19" ht="73.150000000000006" customHeight="1" x14ac:dyDescent="0.45">
      <c r="A1" s="31" t="s">
        <v>1079</v>
      </c>
      <c r="B1" s="31"/>
      <c r="C1" s="31"/>
      <c r="D1" s="31"/>
      <c r="E1" s="31"/>
      <c r="F1" s="31"/>
      <c r="G1" s="31"/>
      <c r="H1" s="31"/>
      <c r="I1" s="31"/>
      <c r="J1" s="31"/>
      <c r="K1" s="31"/>
      <c r="L1" s="31"/>
      <c r="M1" s="31"/>
      <c r="N1" s="31"/>
      <c r="O1" s="31"/>
      <c r="P1" s="31"/>
      <c r="Q1" s="31"/>
      <c r="R1" s="31"/>
    </row>
    <row r="2" spans="1:19" ht="18" customHeight="1" x14ac:dyDescent="0.45">
      <c r="A2" s="32" t="s">
        <v>0</v>
      </c>
      <c r="B2" s="32"/>
      <c r="C2" s="32"/>
      <c r="D2" s="32"/>
      <c r="E2" s="32"/>
      <c r="F2" s="32"/>
      <c r="G2" s="32"/>
      <c r="H2" s="32"/>
      <c r="I2" s="32"/>
      <c r="J2" s="32"/>
      <c r="K2" s="32"/>
      <c r="L2" s="32"/>
      <c r="M2" s="32"/>
      <c r="N2" s="32"/>
      <c r="O2" s="32"/>
      <c r="P2" s="32"/>
      <c r="Q2" s="32"/>
      <c r="R2" s="32"/>
    </row>
    <row r="3" spans="1:19" ht="14.65" thickBot="1" x14ac:dyDescent="0.5">
      <c r="A3" s="26"/>
      <c r="B3" s="26"/>
      <c r="C3" s="26"/>
      <c r="D3" s="26"/>
      <c r="E3" s="26"/>
      <c r="F3" s="26"/>
      <c r="G3" s="26"/>
      <c r="H3" s="26"/>
      <c r="I3" s="26"/>
      <c r="J3" s="26"/>
      <c r="K3" s="26"/>
      <c r="L3" s="26"/>
      <c r="M3" s="26"/>
      <c r="N3" s="26"/>
      <c r="O3" s="26"/>
      <c r="P3" s="26"/>
      <c r="Q3" s="26"/>
      <c r="R3" s="26"/>
    </row>
    <row r="4" spans="1:19" ht="24" x14ac:dyDescent="0.45">
      <c r="A4" s="26"/>
      <c r="B4" s="26"/>
      <c r="C4" s="26"/>
      <c r="D4" s="26"/>
      <c r="E4" s="26"/>
      <c r="F4" s="28" t="s">
        <v>1</v>
      </c>
      <c r="G4" s="26"/>
      <c r="H4" s="26"/>
      <c r="I4" s="28" t="s">
        <v>19</v>
      </c>
      <c r="J4" s="26"/>
      <c r="K4" s="26"/>
      <c r="L4" s="28" t="s">
        <v>31</v>
      </c>
      <c r="M4" s="26"/>
      <c r="N4" s="26"/>
      <c r="O4" s="28" t="s">
        <v>36</v>
      </c>
      <c r="P4" s="26"/>
      <c r="Q4" s="26"/>
      <c r="R4" s="26"/>
    </row>
    <row r="5" spans="1:19" ht="34.5" x14ac:dyDescent="0.45">
      <c r="A5" s="26"/>
      <c r="B5" s="26"/>
      <c r="C5" s="26"/>
      <c r="D5" s="26"/>
      <c r="E5" s="26"/>
      <c r="F5" s="20">
        <f>GETPIVOTDATA("Sum of Net Sales",'Pivot Tables'!$A$4)</f>
        <v>9340517.799999997</v>
      </c>
      <c r="G5" s="26"/>
      <c r="H5" s="26"/>
      <c r="I5" s="29">
        <f>IFERROR('Pivot Tables'!H9,'Pivot Tables'!H6)</f>
        <v>0.99502685873901431</v>
      </c>
      <c r="J5" s="26"/>
      <c r="K5" s="26"/>
      <c r="L5" s="30">
        <f>GETPIVOTDATA("Sum of Units Sold",'Pivot Tables'!$E$14)</f>
        <v>98252</v>
      </c>
      <c r="M5" s="26"/>
      <c r="N5" s="26"/>
      <c r="O5" s="20">
        <f>GETPIVOTDATA("Net Sales",'Pivot Tables'!$P$14,"Payment Status","Pending")</f>
        <v>4244352.3999999985</v>
      </c>
      <c r="P5" s="26"/>
      <c r="Q5" s="26"/>
      <c r="R5" s="26"/>
      <c r="S5" s="35"/>
    </row>
    <row r="6" spans="1:19" x14ac:dyDescent="0.45">
      <c r="A6" s="26"/>
      <c r="B6" s="26"/>
      <c r="C6" s="26"/>
      <c r="D6" s="26"/>
      <c r="E6" s="26"/>
      <c r="F6" s="26"/>
      <c r="G6" s="26"/>
      <c r="H6" s="26"/>
      <c r="I6" s="26"/>
      <c r="J6" s="26"/>
      <c r="K6" s="26"/>
      <c r="L6" s="26"/>
      <c r="M6" s="26"/>
      <c r="N6" s="26"/>
      <c r="O6" s="26"/>
      <c r="P6" s="26"/>
      <c r="Q6" s="26"/>
      <c r="R6" s="26"/>
    </row>
    <row r="7" spans="1:19" x14ac:dyDescent="0.45">
      <c r="A7" s="26"/>
      <c r="B7" s="26"/>
      <c r="C7" s="26"/>
      <c r="D7" s="26"/>
      <c r="E7" s="26"/>
      <c r="F7" s="26"/>
      <c r="G7" s="26"/>
      <c r="H7" s="26"/>
      <c r="I7" s="26"/>
      <c r="J7" s="27"/>
      <c r="K7" s="27"/>
      <c r="L7" s="27"/>
      <c r="M7" s="27"/>
      <c r="N7" s="27"/>
      <c r="O7" s="27"/>
      <c r="P7" s="27"/>
      <c r="Q7" s="27"/>
      <c r="R7" s="27"/>
    </row>
    <row r="8" spans="1:19" x14ac:dyDescent="0.45">
      <c r="A8" s="26"/>
      <c r="B8" s="26"/>
      <c r="C8" s="26"/>
      <c r="D8" s="26"/>
      <c r="E8" s="26"/>
      <c r="F8" s="26"/>
      <c r="G8" s="26"/>
      <c r="H8" s="26"/>
      <c r="I8" s="26"/>
      <c r="J8" s="27"/>
      <c r="K8" s="27"/>
      <c r="L8" s="27"/>
      <c r="M8" s="27"/>
      <c r="N8" s="27"/>
      <c r="O8" s="27"/>
      <c r="P8" s="27"/>
      <c r="Q8" s="27"/>
      <c r="R8" s="27"/>
    </row>
    <row r="9" spans="1:19" x14ac:dyDescent="0.45">
      <c r="A9" s="26"/>
      <c r="B9" s="26"/>
      <c r="C9" s="26"/>
      <c r="D9" s="26"/>
      <c r="E9" s="26"/>
      <c r="F9" s="26"/>
      <c r="G9" s="26"/>
      <c r="H9" s="26"/>
      <c r="I9" s="26"/>
      <c r="J9" s="27"/>
      <c r="K9" s="27"/>
      <c r="L9" s="27"/>
      <c r="M9" s="27"/>
      <c r="N9" s="27"/>
      <c r="O9" s="27"/>
      <c r="P9" s="27"/>
      <c r="Q9" s="27"/>
      <c r="R9" s="27"/>
    </row>
    <row r="10" spans="1:19" x14ac:dyDescent="0.45">
      <c r="A10" s="26"/>
      <c r="B10" s="26"/>
      <c r="C10" s="26"/>
      <c r="D10" s="26"/>
      <c r="E10" s="26"/>
      <c r="F10" s="26"/>
      <c r="G10" s="26"/>
      <c r="H10" s="26"/>
      <c r="I10" s="26"/>
      <c r="J10" s="27"/>
      <c r="K10" s="27"/>
      <c r="L10" s="27"/>
      <c r="M10" s="27"/>
      <c r="N10" s="27"/>
      <c r="O10" s="27"/>
      <c r="P10" s="27"/>
      <c r="Q10" s="27"/>
      <c r="R10" s="27"/>
    </row>
    <row r="11" spans="1:19" x14ac:dyDescent="0.45">
      <c r="A11" s="26"/>
      <c r="B11" s="26"/>
      <c r="C11" s="26"/>
      <c r="D11" s="26"/>
      <c r="E11" s="26"/>
      <c r="F11" s="26"/>
      <c r="G11" s="26"/>
      <c r="H11" s="26"/>
      <c r="I11" s="26"/>
      <c r="J11" s="27"/>
      <c r="K11" s="27"/>
      <c r="L11" s="27"/>
      <c r="M11" s="27"/>
      <c r="N11" s="27"/>
      <c r="O11" s="27"/>
      <c r="P11" s="27"/>
      <c r="Q11" s="27"/>
      <c r="R11" s="27"/>
    </row>
    <row r="12" spans="1:19" x14ac:dyDescent="0.45">
      <c r="A12" s="26"/>
      <c r="B12" s="26"/>
      <c r="C12" s="26"/>
      <c r="D12" s="26"/>
      <c r="E12" s="26"/>
      <c r="F12" s="26"/>
      <c r="G12" s="26"/>
      <c r="H12" s="26"/>
      <c r="I12" s="26"/>
      <c r="J12" s="27"/>
      <c r="K12" s="27"/>
      <c r="L12" s="27"/>
      <c r="M12" s="27"/>
      <c r="N12" s="27"/>
      <c r="O12" s="27"/>
      <c r="P12" s="27"/>
      <c r="Q12" s="27"/>
      <c r="R12" s="27"/>
    </row>
    <row r="13" spans="1:19" x14ac:dyDescent="0.45">
      <c r="A13" s="26"/>
      <c r="B13" s="26"/>
      <c r="C13" s="26"/>
      <c r="D13" s="26"/>
      <c r="E13" s="26"/>
      <c r="F13" s="26"/>
      <c r="G13" s="26"/>
      <c r="H13" s="26"/>
      <c r="I13" s="26"/>
      <c r="J13" s="27"/>
      <c r="K13" s="27"/>
      <c r="L13" s="27"/>
      <c r="M13" s="27"/>
      <c r="N13" s="27"/>
      <c r="O13" s="27"/>
      <c r="P13" s="27"/>
      <c r="Q13" s="27"/>
      <c r="R13" s="27"/>
    </row>
    <row r="14" spans="1:19" x14ac:dyDescent="0.45">
      <c r="A14" s="26"/>
      <c r="B14" s="26"/>
      <c r="C14" s="26"/>
      <c r="D14" s="26"/>
      <c r="E14" s="26"/>
      <c r="F14" s="26"/>
      <c r="G14" s="26"/>
      <c r="H14" s="26"/>
      <c r="I14" s="26"/>
      <c r="J14" s="27"/>
      <c r="K14" s="27"/>
      <c r="L14" s="27"/>
      <c r="M14" s="27"/>
      <c r="N14" s="27"/>
      <c r="O14" s="27"/>
      <c r="P14" s="27"/>
      <c r="Q14" s="27"/>
      <c r="R14" s="27"/>
    </row>
    <row r="15" spans="1:19" x14ac:dyDescent="0.45">
      <c r="A15" s="26"/>
      <c r="B15" s="26"/>
      <c r="C15" s="26"/>
      <c r="D15" s="26"/>
      <c r="E15" s="26"/>
      <c r="F15" s="26"/>
      <c r="G15" s="26"/>
      <c r="H15" s="26"/>
      <c r="I15" s="26"/>
      <c r="J15" s="27"/>
      <c r="K15" s="27"/>
      <c r="L15" s="27"/>
      <c r="M15" s="27"/>
      <c r="N15" s="27"/>
      <c r="O15" s="27"/>
      <c r="P15" s="27"/>
      <c r="Q15" s="27"/>
      <c r="R15" s="27"/>
    </row>
    <row r="16" spans="1:19" x14ac:dyDescent="0.45">
      <c r="A16" s="26"/>
      <c r="B16" s="26"/>
      <c r="C16" s="26"/>
      <c r="D16" s="26"/>
      <c r="E16" s="26"/>
      <c r="F16" s="26"/>
      <c r="G16" s="26"/>
      <c r="H16" s="26"/>
      <c r="I16" s="26"/>
      <c r="J16" s="27"/>
      <c r="K16" s="27"/>
      <c r="L16" s="27"/>
      <c r="M16" s="27"/>
      <c r="N16" s="27"/>
      <c r="O16" s="27"/>
      <c r="P16" s="27"/>
      <c r="Q16" s="27"/>
      <c r="R16" s="27"/>
    </row>
    <row r="17" spans="1:18" x14ac:dyDescent="0.45">
      <c r="A17" s="26"/>
      <c r="B17" s="26"/>
      <c r="C17" s="26"/>
      <c r="D17" s="26"/>
      <c r="E17" s="26"/>
      <c r="F17" s="26"/>
      <c r="G17" s="26"/>
      <c r="H17" s="26"/>
      <c r="I17" s="26"/>
      <c r="J17" s="27"/>
      <c r="K17" s="27"/>
      <c r="L17" s="27"/>
      <c r="M17" s="27"/>
      <c r="N17" s="27"/>
      <c r="O17" s="27"/>
      <c r="P17" s="27"/>
      <c r="Q17" s="27"/>
      <c r="R17" s="27"/>
    </row>
    <row r="18" spans="1:18" x14ac:dyDescent="0.45">
      <c r="A18" s="26"/>
      <c r="B18" s="26"/>
      <c r="C18" s="26"/>
      <c r="D18" s="26"/>
      <c r="E18" s="26"/>
      <c r="F18" s="26"/>
      <c r="G18" s="26"/>
      <c r="H18" s="26"/>
      <c r="I18" s="26"/>
      <c r="J18" s="27"/>
      <c r="K18" s="27"/>
      <c r="L18" s="27"/>
      <c r="M18" s="27"/>
      <c r="N18" s="27"/>
      <c r="O18" s="27"/>
      <c r="P18" s="27"/>
      <c r="Q18" s="27"/>
      <c r="R18" s="27"/>
    </row>
    <row r="19" spans="1:18" x14ac:dyDescent="0.45">
      <c r="A19" s="26"/>
      <c r="B19" s="26"/>
      <c r="C19" s="26"/>
      <c r="D19" s="26"/>
      <c r="E19" s="26"/>
      <c r="F19" s="26"/>
      <c r="G19" s="26"/>
      <c r="H19" s="26"/>
      <c r="I19" s="26"/>
      <c r="J19" s="27"/>
      <c r="K19" s="27"/>
      <c r="L19" s="27"/>
      <c r="M19" s="27"/>
      <c r="N19" s="27"/>
      <c r="O19" s="27"/>
      <c r="P19" s="27"/>
      <c r="Q19" s="27"/>
      <c r="R19" s="27"/>
    </row>
    <row r="20" spans="1:18" x14ac:dyDescent="0.45">
      <c r="A20" s="26"/>
      <c r="B20" s="26"/>
      <c r="C20" s="26"/>
      <c r="D20" s="26"/>
      <c r="E20" s="26"/>
      <c r="F20" s="26"/>
      <c r="G20" s="26"/>
      <c r="H20" s="26"/>
      <c r="I20" s="26"/>
      <c r="J20" s="27"/>
      <c r="K20" s="27"/>
      <c r="L20" s="27"/>
      <c r="M20" s="27"/>
      <c r="N20" s="27"/>
      <c r="O20" s="27"/>
      <c r="P20" s="27"/>
      <c r="Q20" s="27"/>
      <c r="R20" s="27"/>
    </row>
    <row r="21" spans="1:18" x14ac:dyDescent="0.45">
      <c r="A21" s="26"/>
      <c r="B21" s="26"/>
      <c r="C21" s="26"/>
      <c r="D21" s="26"/>
      <c r="E21" s="26"/>
      <c r="F21" s="26"/>
      <c r="G21" s="26"/>
      <c r="H21" s="26"/>
      <c r="I21" s="26"/>
      <c r="J21" s="27"/>
      <c r="K21" s="27"/>
      <c r="L21" s="27"/>
      <c r="M21" s="27"/>
      <c r="N21" s="27"/>
      <c r="O21" s="27"/>
      <c r="P21" s="27"/>
      <c r="Q21" s="27"/>
      <c r="R21" s="27"/>
    </row>
    <row r="22" spans="1:18" x14ac:dyDescent="0.45">
      <c r="A22" s="26"/>
      <c r="B22" s="26"/>
      <c r="C22" s="26"/>
      <c r="D22" s="26"/>
      <c r="E22" s="26"/>
      <c r="F22" s="26"/>
      <c r="G22" s="26"/>
      <c r="H22" s="26"/>
      <c r="I22" s="26"/>
      <c r="J22" s="27"/>
      <c r="K22" s="27"/>
      <c r="L22" s="27"/>
      <c r="M22" s="27"/>
      <c r="N22" s="27"/>
      <c r="O22" s="27"/>
      <c r="P22" s="27"/>
      <c r="Q22" s="27"/>
      <c r="R22" s="27"/>
    </row>
    <row r="23" spans="1:18" x14ac:dyDescent="0.45">
      <c r="A23" s="26"/>
      <c r="B23" s="26"/>
      <c r="C23" s="26"/>
      <c r="D23" s="26"/>
      <c r="E23" s="26"/>
      <c r="F23" s="26"/>
      <c r="G23" s="26"/>
      <c r="H23" s="26"/>
      <c r="I23" s="26"/>
      <c r="J23" s="27"/>
      <c r="K23" s="27"/>
      <c r="L23" s="27"/>
      <c r="M23" s="27"/>
      <c r="N23" s="27"/>
      <c r="O23" s="27"/>
      <c r="P23" s="27"/>
      <c r="Q23" s="27"/>
      <c r="R23" s="27"/>
    </row>
    <row r="24" spans="1:18" x14ac:dyDescent="0.45">
      <c r="A24" s="26"/>
      <c r="B24" s="26"/>
      <c r="C24" s="26"/>
      <c r="D24" s="26"/>
      <c r="E24" s="26"/>
      <c r="F24" s="26"/>
      <c r="G24" s="26"/>
      <c r="H24" s="26"/>
      <c r="I24" s="26"/>
      <c r="J24" s="27"/>
      <c r="K24" s="27"/>
      <c r="L24" s="27"/>
      <c r="M24" s="27"/>
      <c r="N24" s="27"/>
      <c r="O24" s="27"/>
      <c r="P24" s="27"/>
      <c r="Q24" s="27"/>
      <c r="R24" s="27"/>
    </row>
    <row r="25" spans="1:18" x14ac:dyDescent="0.45">
      <c r="A25" s="26"/>
      <c r="B25" s="26"/>
      <c r="C25" s="26"/>
      <c r="D25" s="26"/>
      <c r="E25" s="26"/>
      <c r="F25" s="26"/>
      <c r="G25" s="26"/>
      <c r="H25" s="26"/>
      <c r="I25" s="26"/>
      <c r="J25" s="27"/>
      <c r="K25" s="27"/>
      <c r="L25" s="27"/>
      <c r="M25" s="27"/>
      <c r="N25" s="27"/>
      <c r="O25" s="27"/>
      <c r="P25" s="27"/>
      <c r="Q25" s="27"/>
      <c r="R25" s="27"/>
    </row>
    <row r="26" spans="1:18" x14ac:dyDescent="0.45">
      <c r="A26" s="26"/>
      <c r="B26" s="26"/>
      <c r="C26" s="26"/>
      <c r="D26" s="26"/>
      <c r="E26" s="26"/>
      <c r="F26" s="26"/>
      <c r="G26" s="26"/>
      <c r="H26" s="26"/>
      <c r="I26" s="26"/>
      <c r="J26" s="27"/>
      <c r="K26" s="27"/>
      <c r="L26" s="27"/>
      <c r="M26" s="27"/>
      <c r="N26" s="27"/>
      <c r="O26" s="27"/>
      <c r="P26" s="27"/>
      <c r="Q26" s="27"/>
      <c r="R26" s="27"/>
    </row>
    <row r="27" spans="1:18" x14ac:dyDescent="0.45">
      <c r="A27" s="26"/>
      <c r="B27" s="26"/>
      <c r="C27" s="26"/>
      <c r="D27" s="26"/>
      <c r="E27" s="26"/>
      <c r="F27" s="26"/>
      <c r="G27" s="26"/>
      <c r="H27" s="26"/>
      <c r="I27" s="26"/>
      <c r="J27" s="27"/>
      <c r="K27" s="27"/>
      <c r="L27" s="27"/>
      <c r="M27" s="27"/>
      <c r="N27" s="27"/>
      <c r="O27" s="27"/>
      <c r="P27" s="27"/>
      <c r="Q27" s="27"/>
      <c r="R27" s="27"/>
    </row>
    <row r="28" spans="1:18" x14ac:dyDescent="0.45">
      <c r="A28" s="26"/>
      <c r="B28" s="26"/>
      <c r="C28" s="26"/>
      <c r="D28" s="26"/>
      <c r="E28" s="26"/>
      <c r="F28" s="26"/>
      <c r="G28" s="26"/>
      <c r="H28" s="26"/>
      <c r="I28" s="26"/>
      <c r="J28" s="27"/>
      <c r="K28" s="27"/>
      <c r="L28" s="27"/>
      <c r="M28" s="27"/>
      <c r="N28" s="27"/>
      <c r="O28" s="27"/>
      <c r="P28" s="27"/>
      <c r="Q28" s="27"/>
      <c r="R28" s="27"/>
    </row>
    <row r="29" spans="1:18" x14ac:dyDescent="0.45">
      <c r="A29" s="26"/>
      <c r="B29" s="26"/>
      <c r="C29" s="26"/>
      <c r="D29" s="26"/>
      <c r="E29" s="26"/>
      <c r="F29" s="26"/>
      <c r="G29" s="26"/>
      <c r="H29" s="26"/>
      <c r="I29" s="26"/>
      <c r="J29" s="27"/>
      <c r="K29" s="27"/>
      <c r="L29" s="27"/>
      <c r="M29" s="27"/>
      <c r="N29" s="27"/>
      <c r="O29" s="27"/>
      <c r="P29" s="27"/>
      <c r="Q29" s="27"/>
      <c r="R29" s="27"/>
    </row>
    <row r="30" spans="1:18" x14ac:dyDescent="0.45">
      <c r="A30" s="26"/>
      <c r="B30" s="26"/>
      <c r="C30" s="26"/>
      <c r="D30" s="26"/>
      <c r="E30" s="26"/>
      <c r="F30" s="26"/>
      <c r="G30" s="26"/>
      <c r="H30" s="26"/>
      <c r="I30" s="26"/>
      <c r="J30" s="27"/>
      <c r="K30" s="27"/>
      <c r="L30" s="27"/>
      <c r="M30" s="27"/>
      <c r="N30" s="27"/>
      <c r="O30" s="27"/>
      <c r="P30" s="27"/>
      <c r="Q30" s="27"/>
      <c r="R30" s="27"/>
    </row>
    <row r="31" spans="1:18" x14ac:dyDescent="0.45">
      <c r="A31" s="26"/>
      <c r="B31" s="26"/>
      <c r="C31" s="26"/>
      <c r="D31" s="26"/>
      <c r="E31" s="26"/>
      <c r="F31" s="26"/>
      <c r="G31" s="26"/>
      <c r="H31" s="26"/>
      <c r="I31" s="26"/>
      <c r="J31" s="27"/>
      <c r="K31" s="27"/>
      <c r="L31" s="27"/>
      <c r="M31" s="27"/>
      <c r="N31" s="27"/>
      <c r="O31" s="27"/>
      <c r="P31" s="27"/>
      <c r="Q31" s="27"/>
      <c r="R31" s="27"/>
    </row>
    <row r="32" spans="1:18" x14ac:dyDescent="0.45">
      <c r="A32" s="26"/>
      <c r="B32" s="26"/>
      <c r="C32" s="26"/>
      <c r="D32" s="26"/>
      <c r="E32" s="26"/>
      <c r="F32" s="26"/>
      <c r="G32" s="26"/>
      <c r="H32" s="26"/>
      <c r="I32" s="26"/>
      <c r="J32" s="27"/>
      <c r="K32" s="27"/>
      <c r="L32" s="27"/>
      <c r="M32" s="27"/>
      <c r="N32" s="27"/>
      <c r="O32" s="27"/>
      <c r="P32" s="27"/>
      <c r="Q32" s="27"/>
      <c r="R32" s="27"/>
    </row>
    <row r="33" spans="1:18" x14ac:dyDescent="0.45">
      <c r="A33" s="26"/>
      <c r="B33" s="26"/>
      <c r="C33" s="26"/>
      <c r="D33" s="26"/>
      <c r="E33" s="26"/>
      <c r="F33" s="26"/>
      <c r="G33" s="26"/>
      <c r="H33" s="26"/>
      <c r="I33" s="26"/>
      <c r="J33" s="27"/>
      <c r="K33" s="27"/>
      <c r="L33" s="27"/>
      <c r="M33" s="27"/>
      <c r="N33" s="27"/>
      <c r="O33" s="27"/>
      <c r="P33" s="27"/>
      <c r="Q33" s="27"/>
      <c r="R33" s="27"/>
    </row>
    <row r="34" spans="1:18" x14ac:dyDescent="0.45">
      <c r="A34" s="26"/>
      <c r="B34" s="26"/>
      <c r="C34" s="26"/>
      <c r="D34" s="26"/>
      <c r="E34" s="26"/>
      <c r="F34" s="26"/>
      <c r="G34" s="26"/>
      <c r="H34" s="26"/>
      <c r="I34" s="26"/>
      <c r="J34" s="27"/>
      <c r="K34" s="27"/>
      <c r="L34" s="27"/>
      <c r="M34" s="27"/>
      <c r="N34" s="27"/>
      <c r="O34" s="27"/>
      <c r="P34" s="27"/>
      <c r="Q34" s="27"/>
      <c r="R34" s="27"/>
    </row>
    <row r="35" spans="1:18" x14ac:dyDescent="0.45">
      <c r="A35" s="26"/>
      <c r="B35" s="26"/>
      <c r="C35" s="26"/>
      <c r="D35" s="26"/>
      <c r="E35" s="26"/>
      <c r="F35" s="26"/>
      <c r="G35" s="26"/>
      <c r="H35" s="26"/>
      <c r="I35" s="26"/>
      <c r="J35" s="27"/>
      <c r="K35" s="27"/>
      <c r="L35" s="27"/>
      <c r="M35" s="27"/>
      <c r="N35" s="27"/>
      <c r="O35" s="27"/>
      <c r="P35" s="27"/>
      <c r="Q35" s="27"/>
      <c r="R35" s="27"/>
    </row>
    <row r="36" spans="1:18" x14ac:dyDescent="0.45">
      <c r="A36" s="26"/>
      <c r="B36" s="26"/>
      <c r="C36" s="26"/>
      <c r="D36" s="26"/>
      <c r="E36" s="26"/>
      <c r="F36" s="26"/>
      <c r="G36" s="26"/>
      <c r="H36" s="26"/>
      <c r="I36" s="26"/>
      <c r="J36" s="27"/>
      <c r="K36" s="27"/>
      <c r="L36" s="27"/>
      <c r="M36" s="27"/>
      <c r="N36" s="27"/>
      <c r="O36" s="27"/>
      <c r="P36" s="27"/>
      <c r="Q36" s="27"/>
      <c r="R36" s="27"/>
    </row>
    <row r="37" spans="1:18" x14ac:dyDescent="0.45">
      <c r="A37" s="26"/>
      <c r="B37" s="26"/>
      <c r="C37" s="26"/>
      <c r="D37" s="26"/>
      <c r="E37" s="26"/>
      <c r="F37" s="26"/>
      <c r="G37" s="26"/>
      <c r="H37" s="26"/>
      <c r="I37" s="26"/>
      <c r="J37" s="27"/>
      <c r="K37" s="27"/>
      <c r="L37" s="27"/>
      <c r="M37" s="27"/>
      <c r="N37" s="27"/>
      <c r="O37" s="27"/>
      <c r="P37" s="27"/>
      <c r="Q37" s="27"/>
      <c r="R37" s="27"/>
    </row>
    <row r="38" spans="1:18" x14ac:dyDescent="0.45">
      <c r="A38" s="26"/>
      <c r="B38" s="26"/>
      <c r="C38" s="26"/>
      <c r="D38" s="26"/>
      <c r="E38" s="26"/>
      <c r="F38" s="26"/>
      <c r="G38" s="26"/>
      <c r="H38" s="26"/>
      <c r="I38" s="26"/>
      <c r="J38" s="27"/>
      <c r="K38" s="27"/>
      <c r="L38" s="27"/>
      <c r="M38" s="27"/>
      <c r="N38" s="27"/>
      <c r="O38" s="27"/>
      <c r="P38" s="27"/>
      <c r="Q38" s="27"/>
      <c r="R38" s="27"/>
    </row>
    <row r="39" spans="1:18" x14ac:dyDescent="0.45">
      <c r="A39" s="26"/>
      <c r="B39" s="26"/>
      <c r="C39" s="26"/>
      <c r="D39" s="26"/>
      <c r="E39" s="26"/>
      <c r="F39" s="26"/>
      <c r="G39" s="26"/>
      <c r="H39" s="26"/>
      <c r="I39" s="26"/>
      <c r="J39" s="27"/>
      <c r="K39" s="27"/>
      <c r="L39" s="27"/>
      <c r="M39" s="27"/>
      <c r="N39" s="27"/>
      <c r="O39" s="27"/>
      <c r="P39" s="27"/>
      <c r="Q39" s="27"/>
      <c r="R39" s="27"/>
    </row>
    <row r="40" spans="1:18" x14ac:dyDescent="0.45">
      <c r="A40" s="26"/>
      <c r="B40" s="26"/>
      <c r="C40" s="26"/>
      <c r="D40" s="26"/>
      <c r="E40" s="26"/>
      <c r="F40" s="26"/>
      <c r="G40" s="26"/>
      <c r="H40" s="26"/>
      <c r="I40" s="26"/>
      <c r="J40" s="27"/>
      <c r="K40" s="27"/>
      <c r="L40" s="27"/>
      <c r="M40" s="27"/>
      <c r="N40" s="27"/>
      <c r="O40" s="27"/>
      <c r="P40" s="27"/>
      <c r="Q40" s="27"/>
      <c r="R40" s="27"/>
    </row>
    <row r="41" spans="1:18" x14ac:dyDescent="0.45">
      <c r="A41" s="26"/>
      <c r="B41" s="26"/>
      <c r="C41" s="26"/>
      <c r="D41" s="26"/>
      <c r="E41" s="26"/>
      <c r="F41" s="26"/>
      <c r="G41" s="26"/>
      <c r="H41" s="26"/>
      <c r="I41" s="26"/>
      <c r="J41" s="27"/>
      <c r="K41" s="27"/>
      <c r="L41" s="27"/>
      <c r="M41" s="27"/>
      <c r="N41" s="27"/>
      <c r="O41" s="27"/>
      <c r="P41" s="27"/>
      <c r="Q41" s="27"/>
      <c r="R41" s="27"/>
    </row>
    <row r="42" spans="1:18" x14ac:dyDescent="0.45">
      <c r="A42" s="26"/>
      <c r="B42" s="26"/>
      <c r="C42" s="26"/>
      <c r="D42" s="26"/>
      <c r="E42" s="26"/>
      <c r="F42" s="26"/>
      <c r="G42" s="26"/>
      <c r="H42" s="26"/>
      <c r="I42" s="26"/>
      <c r="J42" s="27"/>
      <c r="K42" s="27"/>
      <c r="L42" s="27"/>
      <c r="M42" s="27"/>
      <c r="N42" s="27"/>
      <c r="O42" s="27"/>
      <c r="P42" s="27"/>
      <c r="Q42" s="27"/>
      <c r="R42" s="27"/>
    </row>
    <row r="43" spans="1:18" x14ac:dyDescent="0.45">
      <c r="A43" s="26"/>
      <c r="B43" s="26"/>
      <c r="C43" s="26"/>
      <c r="D43" s="26"/>
      <c r="E43" s="26"/>
      <c r="F43" s="26"/>
      <c r="G43" s="26"/>
      <c r="H43" s="26"/>
      <c r="I43" s="26"/>
      <c r="J43" s="27"/>
      <c r="K43" s="27"/>
      <c r="L43" s="27"/>
      <c r="M43" s="27"/>
      <c r="N43" s="27"/>
      <c r="O43" s="27"/>
      <c r="P43" s="27"/>
      <c r="Q43" s="27"/>
      <c r="R43" s="27"/>
    </row>
    <row r="44" spans="1:18" x14ac:dyDescent="0.45">
      <c r="A44" s="26"/>
      <c r="B44" s="26"/>
      <c r="C44" s="26"/>
      <c r="D44" s="26"/>
      <c r="E44" s="26"/>
      <c r="F44" s="26"/>
      <c r="G44" s="26"/>
      <c r="H44" s="26"/>
      <c r="I44" s="26"/>
      <c r="J44" s="27"/>
      <c r="K44" s="27"/>
      <c r="L44" s="27"/>
      <c r="M44" s="27"/>
      <c r="N44" s="27"/>
      <c r="O44" s="27"/>
      <c r="P44" s="27"/>
      <c r="Q44" s="27"/>
      <c r="R44" s="27"/>
    </row>
    <row r="45" spans="1:18" x14ac:dyDescent="0.45">
      <c r="A45" s="26"/>
      <c r="B45" s="26"/>
      <c r="C45" s="26"/>
      <c r="D45" s="26"/>
      <c r="E45" s="26"/>
      <c r="F45" s="26"/>
      <c r="G45" s="26"/>
      <c r="H45" s="26"/>
      <c r="I45" s="26"/>
      <c r="J45" s="27"/>
      <c r="K45" s="27"/>
      <c r="L45" s="27"/>
      <c r="M45" s="27"/>
      <c r="N45" s="27"/>
      <c r="O45" s="27"/>
      <c r="P45" s="27"/>
      <c r="Q45" s="27"/>
      <c r="R45" s="27"/>
    </row>
    <row r="46" spans="1:18" x14ac:dyDescent="0.45">
      <c r="A46" s="26"/>
      <c r="B46" s="26"/>
      <c r="C46" s="26"/>
      <c r="D46" s="26"/>
      <c r="E46" s="26"/>
      <c r="F46" s="26"/>
      <c r="G46" s="26"/>
      <c r="H46" s="26"/>
      <c r="I46" s="26"/>
      <c r="J46" s="27"/>
      <c r="K46" s="27"/>
      <c r="L46" s="27"/>
      <c r="M46" s="27"/>
      <c r="N46" s="27"/>
      <c r="O46" s="27"/>
      <c r="P46" s="27"/>
      <c r="Q46" s="27"/>
      <c r="R46" s="27"/>
    </row>
    <row r="47" spans="1:18" x14ac:dyDescent="0.45">
      <c r="A47" s="26"/>
      <c r="B47" s="26"/>
      <c r="C47" s="26"/>
      <c r="D47" s="26"/>
      <c r="E47" s="26"/>
      <c r="F47" s="26"/>
      <c r="G47" s="26"/>
      <c r="H47" s="26"/>
      <c r="I47" s="26"/>
      <c r="J47" s="27"/>
      <c r="K47" s="27"/>
      <c r="L47" s="27"/>
      <c r="M47" s="27"/>
      <c r="N47" s="27"/>
      <c r="O47" s="27"/>
      <c r="P47" s="27"/>
      <c r="Q47" s="27"/>
      <c r="R47" s="27"/>
    </row>
    <row r="48" spans="1:18" x14ac:dyDescent="0.45">
      <c r="A48" s="27"/>
      <c r="B48" s="27"/>
      <c r="C48" s="27"/>
      <c r="D48" s="26"/>
      <c r="E48" s="26"/>
      <c r="F48" s="26"/>
      <c r="G48" s="26"/>
      <c r="H48" s="26"/>
      <c r="I48" s="26"/>
      <c r="J48" s="27"/>
      <c r="K48" s="27"/>
      <c r="L48" s="27"/>
      <c r="M48" s="27"/>
      <c r="N48" s="27"/>
      <c r="O48" s="27"/>
      <c r="P48" s="27"/>
      <c r="Q48" s="27"/>
      <c r="R48" s="27"/>
    </row>
    <row r="49" spans="1:18" x14ac:dyDescent="0.45">
      <c r="A49" s="27"/>
      <c r="B49" s="27"/>
      <c r="C49" s="27"/>
      <c r="D49" s="27"/>
      <c r="E49" s="27"/>
      <c r="F49" s="27"/>
      <c r="G49" s="27"/>
      <c r="H49" s="27"/>
      <c r="I49" s="27"/>
      <c r="J49" s="27"/>
      <c r="K49" s="27"/>
      <c r="L49" s="27"/>
      <c r="M49" s="27"/>
      <c r="N49" s="27"/>
      <c r="O49" s="27"/>
      <c r="P49" s="27"/>
      <c r="Q49" s="27"/>
      <c r="R49" s="27"/>
    </row>
    <row r="50" spans="1:18" x14ac:dyDescent="0.45">
      <c r="A50" s="27"/>
      <c r="B50" s="27"/>
      <c r="C50" s="27"/>
      <c r="D50" s="27"/>
      <c r="E50" s="27"/>
      <c r="F50" s="27"/>
      <c r="G50" s="27"/>
      <c r="H50" s="27"/>
      <c r="I50" s="27"/>
      <c r="J50" s="27"/>
      <c r="K50" s="27"/>
      <c r="L50" s="27"/>
      <c r="M50" s="27"/>
      <c r="N50" s="27"/>
      <c r="O50" s="27"/>
      <c r="P50" s="27"/>
      <c r="Q50" s="27"/>
      <c r="R50" s="27"/>
    </row>
    <row r="51" spans="1:18" x14ac:dyDescent="0.45">
      <c r="A51" s="27"/>
      <c r="B51" s="27"/>
      <c r="C51" s="27"/>
      <c r="D51" s="27"/>
      <c r="E51" s="27"/>
      <c r="F51" s="27"/>
      <c r="G51" s="27"/>
      <c r="H51" s="27"/>
      <c r="I51" s="27"/>
      <c r="J51" s="27"/>
      <c r="K51" s="27"/>
      <c r="L51" s="27"/>
      <c r="M51" s="27"/>
      <c r="N51" s="27"/>
      <c r="O51" s="27"/>
      <c r="P51" s="27"/>
      <c r="Q51" s="27"/>
      <c r="R51" s="27"/>
    </row>
    <row r="52" spans="1:18" x14ac:dyDescent="0.45">
      <c r="A52" s="27"/>
      <c r="B52" s="27"/>
      <c r="C52" s="27"/>
      <c r="D52" s="27"/>
      <c r="E52" s="27"/>
      <c r="F52" s="27"/>
      <c r="G52" s="27"/>
      <c r="H52" s="27"/>
      <c r="I52" s="27"/>
      <c r="J52" s="27"/>
      <c r="K52" s="27"/>
      <c r="L52" s="27"/>
      <c r="M52" s="27"/>
      <c r="N52" s="27"/>
      <c r="O52" s="27"/>
      <c r="P52" s="27"/>
      <c r="Q52" s="27"/>
      <c r="R52" s="27"/>
    </row>
    <row r="53" spans="1:18" x14ac:dyDescent="0.45">
      <c r="A53" s="27"/>
      <c r="B53" s="27"/>
      <c r="C53" s="27"/>
      <c r="D53" s="27"/>
      <c r="E53" s="27"/>
      <c r="F53" s="27"/>
      <c r="G53" s="27"/>
      <c r="H53" s="27"/>
      <c r="I53" s="27"/>
      <c r="J53" s="27"/>
      <c r="K53" s="27"/>
      <c r="L53" s="27"/>
      <c r="M53" s="27"/>
      <c r="N53" s="27"/>
      <c r="O53" s="27"/>
      <c r="P53" s="27"/>
      <c r="Q53" s="27"/>
      <c r="R53" s="27"/>
    </row>
  </sheetData>
  <mergeCells count="2">
    <mergeCell ref="A1:R1"/>
    <mergeCell ref="A2:R2"/>
  </mergeCells>
  <pageMargins left="0.75" right="0.75" top="1" bottom="1" header="0.5" footer="0.5"/>
  <pageSetup orientation="portrait"/>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1"/>
  <sheetViews>
    <sheetView workbookViewId="0">
      <selection activeCell="C14" sqref="C14"/>
    </sheetView>
  </sheetViews>
  <sheetFormatPr defaultRowHeight="14.25" x14ac:dyDescent="0.45"/>
  <cols>
    <col min="1" max="1" width="9.9296875" bestFit="1" customWidth="1"/>
    <col min="2" max="2" width="11.265625" customWidth="1"/>
    <col min="3" max="3" width="11.3984375" customWidth="1"/>
    <col min="4" max="4" width="8.19921875" customWidth="1"/>
    <col min="5" max="5" width="6.796875" customWidth="1"/>
    <col min="6" max="6" width="14.9296875" customWidth="1"/>
    <col min="7" max="7" width="16.59765625" customWidth="1"/>
    <col min="8" max="8" width="14.19921875" customWidth="1"/>
    <col min="9" max="9" width="10.86328125" customWidth="1"/>
    <col min="10" max="10" width="10.46484375" customWidth="1"/>
    <col min="11" max="11" width="11.59765625" customWidth="1"/>
    <col min="12" max="12" width="11.73046875" customWidth="1"/>
    <col min="13" max="13" width="10.1328125" customWidth="1"/>
    <col min="14" max="14" width="12.33203125" customWidth="1"/>
    <col min="15" max="15" width="15.265625" customWidth="1"/>
    <col min="16" max="16" width="15.33203125" customWidth="1"/>
    <col min="17" max="17" width="11.19921875" bestFit="1" customWidth="1"/>
  </cols>
  <sheetData>
    <row r="1" spans="1:17" x14ac:dyDescent="0.45">
      <c r="A1" s="7" t="s">
        <v>37</v>
      </c>
      <c r="B1" s="3" t="s">
        <v>38</v>
      </c>
      <c r="C1" s="3" t="s">
        <v>39</v>
      </c>
      <c r="D1" s="3" t="s">
        <v>8</v>
      </c>
      <c r="E1" s="3" t="s">
        <v>40</v>
      </c>
      <c r="F1" s="3" t="s">
        <v>41</v>
      </c>
      <c r="G1" s="3" t="s">
        <v>6</v>
      </c>
      <c r="H1" s="3" t="s">
        <v>12</v>
      </c>
      <c r="I1" s="3" t="s">
        <v>13</v>
      </c>
      <c r="J1" s="3" t="s">
        <v>42</v>
      </c>
      <c r="K1" s="3" t="s">
        <v>43</v>
      </c>
      <c r="L1" s="3" t="s">
        <v>44</v>
      </c>
      <c r="M1" s="3" t="s">
        <v>7</v>
      </c>
      <c r="N1" s="3" t="s">
        <v>9</v>
      </c>
      <c r="O1" s="3" t="s">
        <v>45</v>
      </c>
      <c r="P1" s="4" t="s">
        <v>46</v>
      </c>
      <c r="Q1" s="23" t="s">
        <v>47</v>
      </c>
    </row>
    <row r="2" spans="1:17" x14ac:dyDescent="0.45">
      <c r="A2" s="10">
        <v>46103</v>
      </c>
      <c r="B2" s="1" t="s">
        <v>48</v>
      </c>
      <c r="C2" s="1" t="s">
        <v>49</v>
      </c>
      <c r="D2" s="1" t="s">
        <v>21</v>
      </c>
      <c r="E2" s="1" t="s">
        <v>50</v>
      </c>
      <c r="F2" s="1" t="s">
        <v>51</v>
      </c>
      <c r="G2" s="1" t="s">
        <v>20</v>
      </c>
      <c r="H2" s="1" t="s">
        <v>33</v>
      </c>
      <c r="I2" s="1">
        <v>136</v>
      </c>
      <c r="J2" s="1">
        <v>35</v>
      </c>
      <c r="K2" s="1">
        <v>0.06</v>
      </c>
      <c r="L2" s="1">
        <v>4760</v>
      </c>
      <c r="M2" s="1">
        <v>4474.3999999999996</v>
      </c>
      <c r="N2" s="1">
        <v>3897.22</v>
      </c>
      <c r="O2" s="1">
        <v>1.1499999999999999</v>
      </c>
      <c r="P2" s="2" t="s">
        <v>52</v>
      </c>
      <c r="Q2" s="21" t="s">
        <v>26</v>
      </c>
    </row>
    <row r="3" spans="1:17" x14ac:dyDescent="0.45">
      <c r="A3" s="10">
        <v>46148</v>
      </c>
      <c r="B3" s="1" t="s">
        <v>53</v>
      </c>
      <c r="C3" s="1" t="s">
        <v>54</v>
      </c>
      <c r="D3" s="1" t="s">
        <v>15</v>
      </c>
      <c r="E3" s="1" t="s">
        <v>55</v>
      </c>
      <c r="F3" s="1" t="s">
        <v>56</v>
      </c>
      <c r="G3" s="1" t="s">
        <v>14</v>
      </c>
      <c r="H3" s="1" t="s">
        <v>18</v>
      </c>
      <c r="I3" s="1">
        <v>36</v>
      </c>
      <c r="J3" s="1">
        <v>250</v>
      </c>
      <c r="K3" s="1">
        <v>7.0000000000000007E-2</v>
      </c>
      <c r="L3" s="1">
        <v>9000</v>
      </c>
      <c r="M3" s="1">
        <v>8370</v>
      </c>
      <c r="N3" s="1">
        <v>8297.73</v>
      </c>
      <c r="O3" s="1">
        <v>1.01</v>
      </c>
      <c r="P3" s="2" t="s">
        <v>52</v>
      </c>
      <c r="Q3" s="14" t="s">
        <v>32</v>
      </c>
    </row>
    <row r="4" spans="1:17" x14ac:dyDescent="0.45">
      <c r="A4" s="10">
        <v>46048</v>
      </c>
      <c r="B4" s="1" t="s">
        <v>57</v>
      </c>
      <c r="C4" s="1" t="s">
        <v>58</v>
      </c>
      <c r="D4" s="1" t="s">
        <v>28</v>
      </c>
      <c r="E4" s="1" t="s">
        <v>59</v>
      </c>
      <c r="F4" s="1" t="s">
        <v>60</v>
      </c>
      <c r="G4" s="1" t="s">
        <v>20</v>
      </c>
      <c r="H4" s="1" t="s">
        <v>23</v>
      </c>
      <c r="I4" s="1">
        <v>129</v>
      </c>
      <c r="J4" s="1">
        <v>180</v>
      </c>
      <c r="K4" s="1">
        <v>0.15</v>
      </c>
      <c r="L4" s="1">
        <v>23220</v>
      </c>
      <c r="M4" s="1">
        <v>19737</v>
      </c>
      <c r="N4" s="1">
        <v>23580.880000000001</v>
      </c>
      <c r="O4" s="1">
        <v>0.84</v>
      </c>
      <c r="P4" s="2" t="s">
        <v>52</v>
      </c>
      <c r="Q4" s="13" t="s">
        <v>16</v>
      </c>
    </row>
    <row r="5" spans="1:17" x14ac:dyDescent="0.45">
      <c r="A5" s="10">
        <v>46118</v>
      </c>
      <c r="B5" s="1" t="s">
        <v>61</v>
      </c>
      <c r="C5" s="1" t="s">
        <v>54</v>
      </c>
      <c r="D5" s="1" t="s">
        <v>15</v>
      </c>
      <c r="E5" s="1" t="s">
        <v>62</v>
      </c>
      <c r="F5" s="1" t="s">
        <v>60</v>
      </c>
      <c r="G5" s="1" t="s">
        <v>14</v>
      </c>
      <c r="H5" s="1" t="s">
        <v>18</v>
      </c>
      <c r="I5" s="1">
        <v>148</v>
      </c>
      <c r="J5" s="1">
        <v>250</v>
      </c>
      <c r="K5" s="1">
        <v>0.1</v>
      </c>
      <c r="L5" s="1">
        <v>37000</v>
      </c>
      <c r="M5" s="1">
        <v>33300</v>
      </c>
      <c r="N5" s="1">
        <v>39038.339999999997</v>
      </c>
      <c r="O5" s="1">
        <v>0.85</v>
      </c>
      <c r="P5" s="2" t="s">
        <v>52</v>
      </c>
      <c r="Q5" s="14" t="s">
        <v>29</v>
      </c>
    </row>
    <row r="6" spans="1:17" x14ac:dyDescent="0.45">
      <c r="A6" s="10">
        <v>46174</v>
      </c>
      <c r="B6" s="1" t="s">
        <v>63</v>
      </c>
      <c r="C6" s="1" t="s">
        <v>64</v>
      </c>
      <c r="D6" s="1" t="s">
        <v>28</v>
      </c>
      <c r="E6" s="1" t="s">
        <v>65</v>
      </c>
      <c r="F6" s="1" t="s">
        <v>60</v>
      </c>
      <c r="G6" s="1" t="s">
        <v>14</v>
      </c>
      <c r="H6" s="1" t="s">
        <v>27</v>
      </c>
      <c r="I6" s="1">
        <v>166</v>
      </c>
      <c r="J6" s="1">
        <v>120</v>
      </c>
      <c r="K6" s="1">
        <v>0.09</v>
      </c>
      <c r="L6" s="1">
        <v>19920</v>
      </c>
      <c r="M6" s="1">
        <v>18127.2</v>
      </c>
      <c r="N6" s="1">
        <v>17587.900000000001</v>
      </c>
      <c r="O6" s="1">
        <v>1.03</v>
      </c>
      <c r="P6" s="2" t="s">
        <v>52</v>
      </c>
      <c r="Q6" s="13" t="s">
        <v>34</v>
      </c>
    </row>
    <row r="7" spans="1:17" x14ac:dyDescent="0.45">
      <c r="A7" s="10">
        <v>46146</v>
      </c>
      <c r="B7" s="1" t="s">
        <v>66</v>
      </c>
      <c r="C7" s="1" t="s">
        <v>67</v>
      </c>
      <c r="D7" s="1" t="s">
        <v>25</v>
      </c>
      <c r="E7" s="1" t="s">
        <v>68</v>
      </c>
      <c r="F7" s="1" t="s">
        <v>56</v>
      </c>
      <c r="G7" s="1" t="s">
        <v>14</v>
      </c>
      <c r="H7" s="1" t="s">
        <v>18</v>
      </c>
      <c r="I7" s="1">
        <v>50</v>
      </c>
      <c r="J7" s="1">
        <v>250</v>
      </c>
      <c r="K7" s="1">
        <v>0.01</v>
      </c>
      <c r="L7" s="1">
        <v>12500</v>
      </c>
      <c r="M7" s="1">
        <v>12375</v>
      </c>
      <c r="N7" s="1">
        <v>12993.25</v>
      </c>
      <c r="O7" s="1">
        <v>0.95</v>
      </c>
      <c r="P7" s="2" t="s">
        <v>52</v>
      </c>
      <c r="Q7" s="14" t="s">
        <v>32</v>
      </c>
    </row>
    <row r="8" spans="1:17" x14ac:dyDescent="0.45">
      <c r="A8" s="10">
        <v>46170</v>
      </c>
      <c r="B8" s="1" t="s">
        <v>69</v>
      </c>
      <c r="C8" s="1" t="s">
        <v>58</v>
      </c>
      <c r="D8" s="1" t="s">
        <v>28</v>
      </c>
      <c r="E8" s="1" t="s">
        <v>70</v>
      </c>
      <c r="F8" s="1" t="s">
        <v>71</v>
      </c>
      <c r="G8" s="1" t="s">
        <v>24</v>
      </c>
      <c r="H8" s="1" t="s">
        <v>35</v>
      </c>
      <c r="I8" s="1">
        <v>156</v>
      </c>
      <c r="J8" s="1">
        <v>30</v>
      </c>
      <c r="K8" s="1">
        <v>0.11</v>
      </c>
      <c r="L8" s="1">
        <v>4680</v>
      </c>
      <c r="M8" s="1">
        <v>4165.2</v>
      </c>
      <c r="N8" s="1">
        <v>4633.2700000000004</v>
      </c>
      <c r="O8" s="1">
        <v>0.9</v>
      </c>
      <c r="P8" s="2" t="s">
        <v>52</v>
      </c>
      <c r="Q8" s="13" t="s">
        <v>32</v>
      </c>
    </row>
    <row r="9" spans="1:17" x14ac:dyDescent="0.45">
      <c r="A9" s="10">
        <v>46152</v>
      </c>
      <c r="B9" s="1" t="s">
        <v>72</v>
      </c>
      <c r="C9" s="1" t="s">
        <v>49</v>
      </c>
      <c r="D9" s="1" t="s">
        <v>28</v>
      </c>
      <c r="E9" s="1" t="s">
        <v>65</v>
      </c>
      <c r="F9" s="1" t="s">
        <v>56</v>
      </c>
      <c r="G9" s="1" t="s">
        <v>20</v>
      </c>
      <c r="H9" s="1" t="s">
        <v>23</v>
      </c>
      <c r="I9" s="1">
        <v>27</v>
      </c>
      <c r="J9" s="1">
        <v>180</v>
      </c>
      <c r="K9" s="1">
        <v>0.12</v>
      </c>
      <c r="L9" s="1">
        <v>4860</v>
      </c>
      <c r="M9" s="1">
        <v>4276.8</v>
      </c>
      <c r="N9" s="1">
        <v>3498.66</v>
      </c>
      <c r="O9" s="1">
        <v>1.22</v>
      </c>
      <c r="P9" s="2" t="s">
        <v>73</v>
      </c>
      <c r="Q9" s="14" t="s">
        <v>32</v>
      </c>
    </row>
    <row r="10" spans="1:17" x14ac:dyDescent="0.45">
      <c r="A10" s="10">
        <v>46078</v>
      </c>
      <c r="B10" s="1" t="s">
        <v>74</v>
      </c>
      <c r="C10" s="1" t="s">
        <v>75</v>
      </c>
      <c r="D10" s="1" t="s">
        <v>25</v>
      </c>
      <c r="E10" s="1" t="s">
        <v>68</v>
      </c>
      <c r="F10" s="1" t="s">
        <v>56</v>
      </c>
      <c r="G10" s="1" t="s">
        <v>24</v>
      </c>
      <c r="H10" s="1" t="s">
        <v>30</v>
      </c>
      <c r="I10" s="1">
        <v>155</v>
      </c>
      <c r="J10" s="1">
        <v>40</v>
      </c>
      <c r="K10" s="1">
        <v>0.13</v>
      </c>
      <c r="L10" s="1">
        <v>6200</v>
      </c>
      <c r="M10" s="1">
        <v>5394</v>
      </c>
      <c r="N10" s="1">
        <v>4343.41</v>
      </c>
      <c r="O10" s="1">
        <v>1.24</v>
      </c>
      <c r="P10" s="2" t="s">
        <v>73</v>
      </c>
      <c r="Q10" s="13" t="s">
        <v>22</v>
      </c>
    </row>
    <row r="11" spans="1:17" x14ac:dyDescent="0.45">
      <c r="A11" s="10">
        <v>46131</v>
      </c>
      <c r="B11" s="1" t="s">
        <v>76</v>
      </c>
      <c r="C11" s="1" t="s">
        <v>75</v>
      </c>
      <c r="D11" s="1" t="s">
        <v>15</v>
      </c>
      <c r="E11" s="1" t="s">
        <v>55</v>
      </c>
      <c r="F11" s="1" t="s">
        <v>56</v>
      </c>
      <c r="G11" s="1" t="s">
        <v>14</v>
      </c>
      <c r="H11" s="1" t="s">
        <v>27</v>
      </c>
      <c r="I11" s="1">
        <v>118</v>
      </c>
      <c r="J11" s="1">
        <v>120</v>
      </c>
      <c r="K11" s="1">
        <v>0.02</v>
      </c>
      <c r="L11" s="1">
        <v>14160</v>
      </c>
      <c r="M11" s="1">
        <v>13876.8</v>
      </c>
      <c r="N11" s="1">
        <v>15542.42</v>
      </c>
      <c r="O11" s="1">
        <v>0.89</v>
      </c>
      <c r="P11" s="2" t="s">
        <v>52</v>
      </c>
      <c r="Q11" s="14" t="s">
        <v>29</v>
      </c>
    </row>
    <row r="12" spans="1:17" x14ac:dyDescent="0.45">
      <c r="A12" s="10">
        <v>46176</v>
      </c>
      <c r="B12" s="1" t="s">
        <v>77</v>
      </c>
      <c r="C12" s="1" t="s">
        <v>54</v>
      </c>
      <c r="D12" s="1" t="s">
        <v>21</v>
      </c>
      <c r="E12" s="1" t="s">
        <v>50</v>
      </c>
      <c r="F12" s="1" t="s">
        <v>78</v>
      </c>
      <c r="G12" s="1" t="s">
        <v>24</v>
      </c>
      <c r="H12" s="1" t="s">
        <v>35</v>
      </c>
      <c r="I12" s="1">
        <v>43</v>
      </c>
      <c r="J12" s="1">
        <v>30</v>
      </c>
      <c r="K12" s="1">
        <v>0.09</v>
      </c>
      <c r="L12" s="1">
        <v>1290</v>
      </c>
      <c r="M12" s="1">
        <v>1173.9000000000001</v>
      </c>
      <c r="N12" s="1">
        <v>1113.18</v>
      </c>
      <c r="O12" s="1">
        <v>1.05</v>
      </c>
      <c r="P12" s="2" t="s">
        <v>73</v>
      </c>
      <c r="Q12" s="13" t="s">
        <v>34</v>
      </c>
    </row>
    <row r="13" spans="1:17" x14ac:dyDescent="0.45">
      <c r="A13" s="10">
        <v>46075</v>
      </c>
      <c r="B13" s="1" t="s">
        <v>79</v>
      </c>
      <c r="C13" s="1" t="s">
        <v>49</v>
      </c>
      <c r="D13" s="1" t="s">
        <v>21</v>
      </c>
      <c r="E13" s="1" t="s">
        <v>80</v>
      </c>
      <c r="F13" s="1" t="s">
        <v>60</v>
      </c>
      <c r="G13" s="1" t="s">
        <v>20</v>
      </c>
      <c r="H13" s="1" t="s">
        <v>33</v>
      </c>
      <c r="I13" s="1">
        <v>117</v>
      </c>
      <c r="J13" s="1">
        <v>35</v>
      </c>
      <c r="K13" s="1">
        <v>0.1</v>
      </c>
      <c r="L13" s="1">
        <v>4095</v>
      </c>
      <c r="M13" s="1">
        <v>3685.5</v>
      </c>
      <c r="N13" s="1">
        <v>3270.38</v>
      </c>
      <c r="O13" s="1">
        <v>1.1299999999999999</v>
      </c>
      <c r="P13" s="2" t="s">
        <v>73</v>
      </c>
      <c r="Q13" s="14" t="s">
        <v>22</v>
      </c>
    </row>
    <row r="14" spans="1:17" x14ac:dyDescent="0.45">
      <c r="A14" s="10">
        <v>46151</v>
      </c>
      <c r="B14" s="1" t="s">
        <v>81</v>
      </c>
      <c r="C14" s="1" t="s">
        <v>64</v>
      </c>
      <c r="D14" s="1" t="s">
        <v>28</v>
      </c>
      <c r="E14" s="1" t="s">
        <v>82</v>
      </c>
      <c r="F14" s="1" t="s">
        <v>60</v>
      </c>
      <c r="G14" s="1" t="s">
        <v>24</v>
      </c>
      <c r="H14" s="1" t="s">
        <v>30</v>
      </c>
      <c r="I14" s="1">
        <v>74</v>
      </c>
      <c r="J14" s="1">
        <v>40</v>
      </c>
      <c r="K14" s="1">
        <v>0.03</v>
      </c>
      <c r="L14" s="1">
        <v>2960</v>
      </c>
      <c r="M14" s="1">
        <v>2871.2</v>
      </c>
      <c r="N14" s="1">
        <v>2487.48</v>
      </c>
      <c r="O14" s="1">
        <v>1.1499999999999999</v>
      </c>
      <c r="P14" s="2" t="s">
        <v>52</v>
      </c>
      <c r="Q14" s="13" t="s">
        <v>32</v>
      </c>
    </row>
    <row r="15" spans="1:17" x14ac:dyDescent="0.45">
      <c r="A15" s="10">
        <v>46107</v>
      </c>
      <c r="B15" s="1" t="s">
        <v>83</v>
      </c>
      <c r="C15" s="1" t="s">
        <v>54</v>
      </c>
      <c r="D15" s="1" t="s">
        <v>25</v>
      </c>
      <c r="E15" s="1" t="s">
        <v>68</v>
      </c>
      <c r="F15" s="1" t="s">
        <v>56</v>
      </c>
      <c r="G15" s="1" t="s">
        <v>20</v>
      </c>
      <c r="H15" s="1" t="s">
        <v>33</v>
      </c>
      <c r="I15" s="1">
        <v>178</v>
      </c>
      <c r="J15" s="1">
        <v>35</v>
      </c>
      <c r="K15" s="1">
        <v>0.09</v>
      </c>
      <c r="L15" s="1">
        <v>6230</v>
      </c>
      <c r="M15" s="1">
        <v>5669.3</v>
      </c>
      <c r="N15" s="1">
        <v>5550.65</v>
      </c>
      <c r="O15" s="1">
        <v>1.02</v>
      </c>
      <c r="P15" s="2" t="s">
        <v>52</v>
      </c>
      <c r="Q15" s="14" t="s">
        <v>26</v>
      </c>
    </row>
    <row r="16" spans="1:17" x14ac:dyDescent="0.45">
      <c r="A16" s="10">
        <v>46164</v>
      </c>
      <c r="B16" s="1" t="s">
        <v>84</v>
      </c>
      <c r="C16" s="1" t="s">
        <v>75</v>
      </c>
      <c r="D16" s="1" t="s">
        <v>21</v>
      </c>
      <c r="E16" s="1" t="s">
        <v>50</v>
      </c>
      <c r="F16" s="1" t="s">
        <v>60</v>
      </c>
      <c r="G16" s="1" t="s">
        <v>20</v>
      </c>
      <c r="H16" s="1" t="s">
        <v>33</v>
      </c>
      <c r="I16" s="1">
        <v>137</v>
      </c>
      <c r="J16" s="1">
        <v>35</v>
      </c>
      <c r="K16" s="1">
        <v>0.1</v>
      </c>
      <c r="L16" s="1">
        <v>4795</v>
      </c>
      <c r="M16" s="1">
        <v>4315.5</v>
      </c>
      <c r="N16" s="1">
        <v>3929.8</v>
      </c>
      <c r="O16" s="1">
        <v>1.1000000000000001</v>
      </c>
      <c r="P16" s="2" t="s">
        <v>52</v>
      </c>
      <c r="Q16" s="13" t="s">
        <v>32</v>
      </c>
    </row>
    <row r="17" spans="1:17" x14ac:dyDescent="0.45">
      <c r="A17" s="10">
        <v>46041</v>
      </c>
      <c r="B17" s="1" t="s">
        <v>85</v>
      </c>
      <c r="C17" s="1" t="s">
        <v>64</v>
      </c>
      <c r="D17" s="1" t="s">
        <v>21</v>
      </c>
      <c r="E17" s="1" t="s">
        <v>80</v>
      </c>
      <c r="F17" s="1" t="s">
        <v>56</v>
      </c>
      <c r="G17" s="1" t="s">
        <v>20</v>
      </c>
      <c r="H17" s="1" t="s">
        <v>33</v>
      </c>
      <c r="I17" s="1">
        <v>200</v>
      </c>
      <c r="J17" s="1">
        <v>35</v>
      </c>
      <c r="K17" s="1">
        <v>0.01</v>
      </c>
      <c r="L17" s="1">
        <v>7000</v>
      </c>
      <c r="M17" s="1">
        <v>6930</v>
      </c>
      <c r="N17" s="1">
        <v>7737.33</v>
      </c>
      <c r="O17" s="1">
        <v>0.9</v>
      </c>
      <c r="P17" s="2" t="s">
        <v>52</v>
      </c>
      <c r="Q17" s="14" t="s">
        <v>16</v>
      </c>
    </row>
    <row r="18" spans="1:17" x14ac:dyDescent="0.45">
      <c r="A18" s="10">
        <v>46201</v>
      </c>
      <c r="B18" s="1" t="s">
        <v>86</v>
      </c>
      <c r="C18" s="1" t="s">
        <v>54</v>
      </c>
      <c r="D18" s="1" t="s">
        <v>28</v>
      </c>
      <c r="E18" s="1" t="s">
        <v>82</v>
      </c>
      <c r="F18" s="1" t="s">
        <v>56</v>
      </c>
      <c r="G18" s="1" t="s">
        <v>14</v>
      </c>
      <c r="H18" s="1" t="s">
        <v>27</v>
      </c>
      <c r="I18" s="1">
        <v>58</v>
      </c>
      <c r="J18" s="1">
        <v>120</v>
      </c>
      <c r="K18" s="1">
        <v>0.02</v>
      </c>
      <c r="L18" s="1">
        <v>6960</v>
      </c>
      <c r="M18" s="1">
        <v>6820.8</v>
      </c>
      <c r="N18" s="1">
        <v>5632.01</v>
      </c>
      <c r="O18" s="1">
        <v>1.21</v>
      </c>
      <c r="P18" s="2" t="s">
        <v>52</v>
      </c>
      <c r="Q18" s="13" t="s">
        <v>34</v>
      </c>
    </row>
    <row r="19" spans="1:17" x14ac:dyDescent="0.45">
      <c r="A19" s="10">
        <v>46135</v>
      </c>
      <c r="B19" s="1" t="s">
        <v>87</v>
      </c>
      <c r="C19" s="1" t="s">
        <v>54</v>
      </c>
      <c r="D19" s="1" t="s">
        <v>21</v>
      </c>
      <c r="E19" s="1" t="s">
        <v>80</v>
      </c>
      <c r="F19" s="1" t="s">
        <v>51</v>
      </c>
      <c r="G19" s="1" t="s">
        <v>14</v>
      </c>
      <c r="H19" s="1" t="s">
        <v>18</v>
      </c>
      <c r="I19" s="1">
        <v>164</v>
      </c>
      <c r="J19" s="1">
        <v>250</v>
      </c>
      <c r="K19" s="1">
        <v>0.04</v>
      </c>
      <c r="L19" s="1">
        <v>41000</v>
      </c>
      <c r="M19" s="1">
        <v>39360</v>
      </c>
      <c r="N19" s="1">
        <v>38140.21</v>
      </c>
      <c r="O19" s="1">
        <v>1.03</v>
      </c>
      <c r="P19" s="2" t="s">
        <v>52</v>
      </c>
      <c r="Q19" s="14" t="s">
        <v>29</v>
      </c>
    </row>
    <row r="20" spans="1:17" x14ac:dyDescent="0.45">
      <c r="A20" s="10">
        <v>46147</v>
      </c>
      <c r="B20" s="1" t="s">
        <v>88</v>
      </c>
      <c r="C20" s="1" t="s">
        <v>58</v>
      </c>
      <c r="D20" s="1" t="s">
        <v>15</v>
      </c>
      <c r="E20" s="1" t="s">
        <v>62</v>
      </c>
      <c r="F20" s="1" t="s">
        <v>60</v>
      </c>
      <c r="G20" s="1" t="s">
        <v>20</v>
      </c>
      <c r="H20" s="1" t="s">
        <v>23</v>
      </c>
      <c r="I20" s="1">
        <v>155</v>
      </c>
      <c r="J20" s="1">
        <v>180</v>
      </c>
      <c r="K20" s="1">
        <v>0</v>
      </c>
      <c r="L20" s="1">
        <v>27900</v>
      </c>
      <c r="M20" s="1">
        <v>27900</v>
      </c>
      <c r="N20" s="1">
        <v>31197</v>
      </c>
      <c r="O20" s="1">
        <v>0.89</v>
      </c>
      <c r="P20" s="2" t="s">
        <v>52</v>
      </c>
      <c r="Q20" s="13" t="s">
        <v>32</v>
      </c>
    </row>
    <row r="21" spans="1:17" x14ac:dyDescent="0.45">
      <c r="A21" s="10">
        <v>46174</v>
      </c>
      <c r="B21" s="1" t="s">
        <v>89</v>
      </c>
      <c r="C21" s="1" t="s">
        <v>49</v>
      </c>
      <c r="D21" s="1" t="s">
        <v>21</v>
      </c>
      <c r="E21" s="1" t="s">
        <v>80</v>
      </c>
      <c r="F21" s="1" t="s">
        <v>71</v>
      </c>
      <c r="G21" s="1" t="s">
        <v>14</v>
      </c>
      <c r="H21" s="1" t="s">
        <v>18</v>
      </c>
      <c r="I21" s="1">
        <v>116</v>
      </c>
      <c r="J21" s="1">
        <v>250</v>
      </c>
      <c r="K21" s="1">
        <v>0.11</v>
      </c>
      <c r="L21" s="1">
        <v>29000</v>
      </c>
      <c r="M21" s="1">
        <v>25810</v>
      </c>
      <c r="N21" s="1">
        <v>21989.5</v>
      </c>
      <c r="O21" s="1">
        <v>1.17</v>
      </c>
      <c r="P21" s="2" t="s">
        <v>52</v>
      </c>
      <c r="Q21" s="14" t="s">
        <v>34</v>
      </c>
    </row>
    <row r="22" spans="1:17" x14ac:dyDescent="0.45">
      <c r="A22" s="10">
        <v>46128</v>
      </c>
      <c r="B22" s="1" t="s">
        <v>90</v>
      </c>
      <c r="C22" s="1" t="s">
        <v>49</v>
      </c>
      <c r="D22" s="1" t="s">
        <v>21</v>
      </c>
      <c r="E22" s="1" t="s">
        <v>50</v>
      </c>
      <c r="F22" s="1" t="s">
        <v>60</v>
      </c>
      <c r="G22" s="1" t="s">
        <v>24</v>
      </c>
      <c r="H22" s="1" t="s">
        <v>30</v>
      </c>
      <c r="I22" s="1">
        <v>98</v>
      </c>
      <c r="J22" s="1">
        <v>40</v>
      </c>
      <c r="K22" s="1">
        <v>0.13</v>
      </c>
      <c r="L22" s="1">
        <v>3920</v>
      </c>
      <c r="M22" s="1">
        <v>3410.4</v>
      </c>
      <c r="N22" s="1">
        <v>3909.63</v>
      </c>
      <c r="O22" s="1">
        <v>0.87</v>
      </c>
      <c r="P22" s="2" t="s">
        <v>52</v>
      </c>
      <c r="Q22" s="13" t="s">
        <v>29</v>
      </c>
    </row>
    <row r="23" spans="1:17" x14ac:dyDescent="0.45">
      <c r="A23" s="10">
        <v>46171</v>
      </c>
      <c r="B23" s="1" t="s">
        <v>91</v>
      </c>
      <c r="C23" s="1" t="s">
        <v>58</v>
      </c>
      <c r="D23" s="1" t="s">
        <v>28</v>
      </c>
      <c r="E23" s="1" t="s">
        <v>65</v>
      </c>
      <c r="F23" s="1" t="s">
        <v>51</v>
      </c>
      <c r="G23" s="1" t="s">
        <v>20</v>
      </c>
      <c r="H23" s="1" t="s">
        <v>23</v>
      </c>
      <c r="I23" s="1">
        <v>77</v>
      </c>
      <c r="J23" s="1">
        <v>180</v>
      </c>
      <c r="K23" s="1">
        <v>0.04</v>
      </c>
      <c r="L23" s="1">
        <v>13860</v>
      </c>
      <c r="M23" s="1">
        <v>13305.6</v>
      </c>
      <c r="N23" s="1">
        <v>14102.43</v>
      </c>
      <c r="O23" s="1">
        <v>0.94</v>
      </c>
      <c r="P23" s="2" t="s">
        <v>52</v>
      </c>
      <c r="Q23" s="14" t="s">
        <v>32</v>
      </c>
    </row>
    <row r="24" spans="1:17" x14ac:dyDescent="0.45">
      <c r="A24" s="10">
        <v>46033</v>
      </c>
      <c r="B24" s="1" t="s">
        <v>92</v>
      </c>
      <c r="C24" s="1" t="s">
        <v>58</v>
      </c>
      <c r="D24" s="1" t="s">
        <v>25</v>
      </c>
      <c r="E24" s="1" t="s">
        <v>68</v>
      </c>
      <c r="F24" s="1" t="s">
        <v>60</v>
      </c>
      <c r="G24" s="1" t="s">
        <v>14</v>
      </c>
      <c r="H24" s="1" t="s">
        <v>18</v>
      </c>
      <c r="I24" s="1">
        <v>177</v>
      </c>
      <c r="J24" s="1">
        <v>250</v>
      </c>
      <c r="K24" s="1">
        <v>0.05</v>
      </c>
      <c r="L24" s="1">
        <v>44250</v>
      </c>
      <c r="M24" s="1">
        <v>42037.5</v>
      </c>
      <c r="N24" s="1">
        <v>47082.400000000001</v>
      </c>
      <c r="O24" s="1">
        <v>0.89</v>
      </c>
      <c r="P24" s="2" t="s">
        <v>52</v>
      </c>
      <c r="Q24" s="13" t="s">
        <v>16</v>
      </c>
    </row>
    <row r="25" spans="1:17" x14ac:dyDescent="0.45">
      <c r="A25" s="10">
        <v>46050</v>
      </c>
      <c r="B25" s="1" t="s">
        <v>93</v>
      </c>
      <c r="C25" s="1" t="s">
        <v>49</v>
      </c>
      <c r="D25" s="1" t="s">
        <v>21</v>
      </c>
      <c r="E25" s="1" t="s">
        <v>50</v>
      </c>
      <c r="F25" s="1" t="s">
        <v>71</v>
      </c>
      <c r="G25" s="1" t="s">
        <v>20</v>
      </c>
      <c r="H25" s="1" t="s">
        <v>23</v>
      </c>
      <c r="I25" s="1">
        <v>64</v>
      </c>
      <c r="J25" s="1">
        <v>180</v>
      </c>
      <c r="K25" s="1">
        <v>0.14000000000000001</v>
      </c>
      <c r="L25" s="1">
        <v>11520</v>
      </c>
      <c r="M25" s="1">
        <v>9907.2000000000007</v>
      </c>
      <c r="N25" s="1">
        <v>8395.64</v>
      </c>
      <c r="O25" s="1">
        <v>1.18</v>
      </c>
      <c r="P25" s="2" t="s">
        <v>73</v>
      </c>
      <c r="Q25" s="14" t="s">
        <v>16</v>
      </c>
    </row>
    <row r="26" spans="1:17" x14ac:dyDescent="0.45">
      <c r="A26" s="10">
        <v>46152</v>
      </c>
      <c r="B26" s="1" t="s">
        <v>94</v>
      </c>
      <c r="C26" s="1" t="s">
        <v>54</v>
      </c>
      <c r="D26" s="1" t="s">
        <v>15</v>
      </c>
      <c r="E26" s="1" t="s">
        <v>62</v>
      </c>
      <c r="F26" s="1" t="s">
        <v>95</v>
      </c>
      <c r="G26" s="1" t="s">
        <v>24</v>
      </c>
      <c r="H26" s="1" t="s">
        <v>30</v>
      </c>
      <c r="I26" s="1">
        <v>133</v>
      </c>
      <c r="J26" s="1">
        <v>40</v>
      </c>
      <c r="K26" s="1">
        <v>0.15</v>
      </c>
      <c r="L26" s="1">
        <v>5320</v>
      </c>
      <c r="M26" s="1">
        <v>4522</v>
      </c>
      <c r="N26" s="1">
        <v>4768.88</v>
      </c>
      <c r="O26" s="1">
        <v>0.95</v>
      </c>
      <c r="P26" s="2" t="s">
        <v>73</v>
      </c>
      <c r="Q26" s="13" t="s">
        <v>32</v>
      </c>
    </row>
    <row r="27" spans="1:17" x14ac:dyDescent="0.45">
      <c r="A27" s="10">
        <v>46168</v>
      </c>
      <c r="B27" s="1" t="s">
        <v>96</v>
      </c>
      <c r="C27" s="1" t="s">
        <v>58</v>
      </c>
      <c r="D27" s="1" t="s">
        <v>15</v>
      </c>
      <c r="E27" s="1" t="s">
        <v>55</v>
      </c>
      <c r="F27" s="1" t="s">
        <v>95</v>
      </c>
      <c r="G27" s="1" t="s">
        <v>20</v>
      </c>
      <c r="H27" s="1" t="s">
        <v>33</v>
      </c>
      <c r="I27" s="1">
        <v>19</v>
      </c>
      <c r="J27" s="1">
        <v>35</v>
      </c>
      <c r="K27" s="1">
        <v>0.03</v>
      </c>
      <c r="L27" s="1">
        <v>665</v>
      </c>
      <c r="M27" s="1">
        <v>645.04999999999995</v>
      </c>
      <c r="N27" s="1">
        <v>752.21</v>
      </c>
      <c r="O27" s="1">
        <v>0.86</v>
      </c>
      <c r="P27" s="2" t="s">
        <v>73</v>
      </c>
      <c r="Q27" s="14" t="s">
        <v>32</v>
      </c>
    </row>
    <row r="28" spans="1:17" x14ac:dyDescent="0.45">
      <c r="A28" s="10">
        <v>46187</v>
      </c>
      <c r="B28" s="1" t="s">
        <v>97</v>
      </c>
      <c r="C28" s="1" t="s">
        <v>54</v>
      </c>
      <c r="D28" s="1" t="s">
        <v>25</v>
      </c>
      <c r="E28" s="1" t="s">
        <v>98</v>
      </c>
      <c r="F28" s="1" t="s">
        <v>51</v>
      </c>
      <c r="G28" s="1" t="s">
        <v>20</v>
      </c>
      <c r="H28" s="1" t="s">
        <v>23</v>
      </c>
      <c r="I28" s="1">
        <v>142</v>
      </c>
      <c r="J28" s="1">
        <v>180</v>
      </c>
      <c r="K28" s="1">
        <v>0.14000000000000001</v>
      </c>
      <c r="L28" s="1">
        <v>25560</v>
      </c>
      <c r="M28" s="1">
        <v>21981.599999999999</v>
      </c>
      <c r="N28" s="1">
        <v>23899.09</v>
      </c>
      <c r="O28" s="1">
        <v>0.92</v>
      </c>
      <c r="P28" s="2" t="s">
        <v>52</v>
      </c>
      <c r="Q28" s="13" t="s">
        <v>34</v>
      </c>
    </row>
    <row r="29" spans="1:17" x14ac:dyDescent="0.45">
      <c r="A29" s="10">
        <v>46200</v>
      </c>
      <c r="B29" s="1" t="s">
        <v>99</v>
      </c>
      <c r="C29" s="1" t="s">
        <v>67</v>
      </c>
      <c r="D29" s="1" t="s">
        <v>28</v>
      </c>
      <c r="E29" s="1" t="s">
        <v>82</v>
      </c>
      <c r="F29" s="1" t="s">
        <v>60</v>
      </c>
      <c r="G29" s="1" t="s">
        <v>20</v>
      </c>
      <c r="H29" s="1" t="s">
        <v>33</v>
      </c>
      <c r="I29" s="1">
        <v>136</v>
      </c>
      <c r="J29" s="1">
        <v>35</v>
      </c>
      <c r="K29" s="1">
        <v>0.05</v>
      </c>
      <c r="L29" s="1">
        <v>4760</v>
      </c>
      <c r="M29" s="1">
        <v>4522</v>
      </c>
      <c r="N29" s="1">
        <v>5302.05</v>
      </c>
      <c r="O29" s="1">
        <v>0.85</v>
      </c>
      <c r="P29" s="2" t="s">
        <v>52</v>
      </c>
      <c r="Q29" s="14" t="s">
        <v>34</v>
      </c>
    </row>
    <row r="30" spans="1:17" x14ac:dyDescent="0.45">
      <c r="A30" s="10">
        <v>46032</v>
      </c>
      <c r="B30" s="1" t="s">
        <v>100</v>
      </c>
      <c r="C30" s="1" t="s">
        <v>64</v>
      </c>
      <c r="D30" s="1" t="s">
        <v>21</v>
      </c>
      <c r="E30" s="1" t="s">
        <v>50</v>
      </c>
      <c r="F30" s="1" t="s">
        <v>56</v>
      </c>
      <c r="G30" s="1" t="s">
        <v>14</v>
      </c>
      <c r="H30" s="1" t="s">
        <v>18</v>
      </c>
      <c r="I30" s="1">
        <v>40</v>
      </c>
      <c r="J30" s="1">
        <v>250</v>
      </c>
      <c r="K30" s="1">
        <v>0.12</v>
      </c>
      <c r="L30" s="1">
        <v>10000</v>
      </c>
      <c r="M30" s="1">
        <v>8800</v>
      </c>
      <c r="N30" s="1">
        <v>8236.6299999999992</v>
      </c>
      <c r="O30" s="1">
        <v>1.07</v>
      </c>
      <c r="P30" s="2" t="s">
        <v>73</v>
      </c>
      <c r="Q30" s="13" t="s">
        <v>16</v>
      </c>
    </row>
    <row r="31" spans="1:17" x14ac:dyDescent="0.45">
      <c r="A31" s="10">
        <v>46085</v>
      </c>
      <c r="B31" s="1" t="s">
        <v>101</v>
      </c>
      <c r="C31" s="1" t="s">
        <v>67</v>
      </c>
      <c r="D31" s="1" t="s">
        <v>28</v>
      </c>
      <c r="E31" s="1" t="s">
        <v>82</v>
      </c>
      <c r="F31" s="1" t="s">
        <v>78</v>
      </c>
      <c r="G31" s="1" t="s">
        <v>24</v>
      </c>
      <c r="H31" s="1" t="s">
        <v>30</v>
      </c>
      <c r="I31" s="1">
        <v>195</v>
      </c>
      <c r="J31" s="1">
        <v>40</v>
      </c>
      <c r="K31" s="1">
        <v>0.1</v>
      </c>
      <c r="L31" s="1">
        <v>7800</v>
      </c>
      <c r="M31" s="1">
        <v>7020</v>
      </c>
      <c r="N31" s="1">
        <v>6997.28</v>
      </c>
      <c r="O31" s="1">
        <v>1</v>
      </c>
      <c r="P31" s="2" t="s">
        <v>73</v>
      </c>
      <c r="Q31" s="14" t="s">
        <v>26</v>
      </c>
    </row>
    <row r="32" spans="1:17" x14ac:dyDescent="0.45">
      <c r="A32" s="10">
        <v>46169</v>
      </c>
      <c r="B32" s="1" t="s">
        <v>102</v>
      </c>
      <c r="C32" s="1" t="s">
        <v>49</v>
      </c>
      <c r="D32" s="1" t="s">
        <v>15</v>
      </c>
      <c r="E32" s="1" t="s">
        <v>62</v>
      </c>
      <c r="F32" s="1" t="s">
        <v>60</v>
      </c>
      <c r="G32" s="1" t="s">
        <v>24</v>
      </c>
      <c r="H32" s="1" t="s">
        <v>30</v>
      </c>
      <c r="I32" s="1">
        <v>159</v>
      </c>
      <c r="J32" s="1">
        <v>40</v>
      </c>
      <c r="K32" s="1">
        <v>0.14000000000000001</v>
      </c>
      <c r="L32" s="1">
        <v>6360</v>
      </c>
      <c r="M32" s="1">
        <v>5469.6</v>
      </c>
      <c r="N32" s="1">
        <v>6288.15</v>
      </c>
      <c r="O32" s="1">
        <v>0.87</v>
      </c>
      <c r="P32" s="2" t="s">
        <v>52</v>
      </c>
      <c r="Q32" s="13" t="s">
        <v>32</v>
      </c>
    </row>
    <row r="33" spans="1:17" x14ac:dyDescent="0.45">
      <c r="A33" s="10">
        <v>46193</v>
      </c>
      <c r="B33" s="1" t="s">
        <v>103</v>
      </c>
      <c r="C33" s="1" t="s">
        <v>54</v>
      </c>
      <c r="D33" s="1" t="s">
        <v>25</v>
      </c>
      <c r="E33" s="1" t="s">
        <v>104</v>
      </c>
      <c r="F33" s="1" t="s">
        <v>56</v>
      </c>
      <c r="G33" s="1" t="s">
        <v>14</v>
      </c>
      <c r="H33" s="1" t="s">
        <v>18</v>
      </c>
      <c r="I33" s="1">
        <v>187</v>
      </c>
      <c r="J33" s="1">
        <v>250</v>
      </c>
      <c r="K33" s="1">
        <v>0.14000000000000001</v>
      </c>
      <c r="L33" s="1">
        <v>46750</v>
      </c>
      <c r="M33" s="1">
        <v>40205</v>
      </c>
      <c r="N33" s="1">
        <v>42693.13</v>
      </c>
      <c r="O33" s="1">
        <v>0.94</v>
      </c>
      <c r="P33" s="2" t="s">
        <v>52</v>
      </c>
      <c r="Q33" s="14" t="s">
        <v>34</v>
      </c>
    </row>
    <row r="34" spans="1:17" x14ac:dyDescent="0.45">
      <c r="A34" s="10">
        <v>46164</v>
      </c>
      <c r="B34" s="1" t="s">
        <v>105</v>
      </c>
      <c r="C34" s="1" t="s">
        <v>49</v>
      </c>
      <c r="D34" s="1" t="s">
        <v>21</v>
      </c>
      <c r="E34" s="1" t="s">
        <v>50</v>
      </c>
      <c r="F34" s="1" t="s">
        <v>78</v>
      </c>
      <c r="G34" s="1" t="s">
        <v>20</v>
      </c>
      <c r="H34" s="1" t="s">
        <v>23</v>
      </c>
      <c r="I34" s="1">
        <v>10</v>
      </c>
      <c r="J34" s="1">
        <v>180</v>
      </c>
      <c r="K34" s="1">
        <v>0.06</v>
      </c>
      <c r="L34" s="1">
        <v>1800</v>
      </c>
      <c r="M34" s="1">
        <v>1692</v>
      </c>
      <c r="N34" s="1">
        <v>1591.73</v>
      </c>
      <c r="O34" s="1">
        <v>1.06</v>
      </c>
      <c r="P34" s="2" t="s">
        <v>73</v>
      </c>
      <c r="Q34" s="13" t="s">
        <v>32</v>
      </c>
    </row>
    <row r="35" spans="1:17" x14ac:dyDescent="0.45">
      <c r="A35" s="10">
        <v>46123</v>
      </c>
      <c r="B35" s="1" t="s">
        <v>106</v>
      </c>
      <c r="C35" s="1" t="s">
        <v>67</v>
      </c>
      <c r="D35" s="1" t="s">
        <v>21</v>
      </c>
      <c r="E35" s="1" t="s">
        <v>80</v>
      </c>
      <c r="F35" s="1" t="s">
        <v>56</v>
      </c>
      <c r="G35" s="1" t="s">
        <v>14</v>
      </c>
      <c r="H35" s="1" t="s">
        <v>27</v>
      </c>
      <c r="I35" s="1">
        <v>8</v>
      </c>
      <c r="J35" s="1">
        <v>120</v>
      </c>
      <c r="K35" s="1">
        <v>0.14000000000000001</v>
      </c>
      <c r="L35" s="1">
        <v>960</v>
      </c>
      <c r="M35" s="1">
        <v>825.6</v>
      </c>
      <c r="N35" s="1">
        <v>961.06</v>
      </c>
      <c r="O35" s="1">
        <v>0.86</v>
      </c>
      <c r="P35" s="2" t="s">
        <v>52</v>
      </c>
      <c r="Q35" s="14" t="s">
        <v>29</v>
      </c>
    </row>
    <row r="36" spans="1:17" x14ac:dyDescent="0.45">
      <c r="A36" s="10">
        <v>46027</v>
      </c>
      <c r="B36" s="1" t="s">
        <v>107</v>
      </c>
      <c r="C36" s="1" t="s">
        <v>75</v>
      </c>
      <c r="D36" s="1" t="s">
        <v>25</v>
      </c>
      <c r="E36" s="1" t="s">
        <v>104</v>
      </c>
      <c r="F36" s="1" t="s">
        <v>56</v>
      </c>
      <c r="G36" s="1" t="s">
        <v>24</v>
      </c>
      <c r="H36" s="1" t="s">
        <v>30</v>
      </c>
      <c r="I36" s="1">
        <v>175</v>
      </c>
      <c r="J36" s="1">
        <v>40</v>
      </c>
      <c r="K36" s="1">
        <v>0.09</v>
      </c>
      <c r="L36" s="1">
        <v>7000</v>
      </c>
      <c r="M36" s="1">
        <v>6370</v>
      </c>
      <c r="N36" s="1">
        <v>7142.8</v>
      </c>
      <c r="O36" s="1">
        <v>0.89</v>
      </c>
      <c r="P36" s="2" t="s">
        <v>52</v>
      </c>
      <c r="Q36" s="13" t="s">
        <v>16</v>
      </c>
    </row>
    <row r="37" spans="1:17" x14ac:dyDescent="0.45">
      <c r="A37" s="10">
        <v>46052</v>
      </c>
      <c r="B37" s="1" t="s">
        <v>108</v>
      </c>
      <c r="C37" s="1" t="s">
        <v>75</v>
      </c>
      <c r="D37" s="1" t="s">
        <v>15</v>
      </c>
      <c r="E37" s="1" t="s">
        <v>62</v>
      </c>
      <c r="F37" s="1" t="s">
        <v>78</v>
      </c>
      <c r="G37" s="1" t="s">
        <v>14</v>
      </c>
      <c r="H37" s="1" t="s">
        <v>27</v>
      </c>
      <c r="I37" s="1">
        <v>90</v>
      </c>
      <c r="J37" s="1">
        <v>120</v>
      </c>
      <c r="K37" s="1">
        <v>0.14000000000000001</v>
      </c>
      <c r="L37" s="1">
        <v>10800</v>
      </c>
      <c r="M37" s="1">
        <v>9288</v>
      </c>
      <c r="N37" s="1">
        <v>7507.46</v>
      </c>
      <c r="O37" s="1">
        <v>1.24</v>
      </c>
      <c r="P37" s="2" t="s">
        <v>73</v>
      </c>
      <c r="Q37" s="14" t="s">
        <v>16</v>
      </c>
    </row>
    <row r="38" spans="1:17" x14ac:dyDescent="0.45">
      <c r="A38" s="10">
        <v>46179</v>
      </c>
      <c r="B38" s="1" t="s">
        <v>109</v>
      </c>
      <c r="C38" s="1" t="s">
        <v>49</v>
      </c>
      <c r="D38" s="1" t="s">
        <v>28</v>
      </c>
      <c r="E38" s="1" t="s">
        <v>59</v>
      </c>
      <c r="F38" s="1" t="s">
        <v>95</v>
      </c>
      <c r="G38" s="1" t="s">
        <v>24</v>
      </c>
      <c r="H38" s="1" t="s">
        <v>35</v>
      </c>
      <c r="I38" s="1">
        <v>45</v>
      </c>
      <c r="J38" s="1">
        <v>30</v>
      </c>
      <c r="K38" s="1">
        <v>0.11</v>
      </c>
      <c r="L38" s="1">
        <v>1350</v>
      </c>
      <c r="M38" s="1">
        <v>1201.5</v>
      </c>
      <c r="N38" s="1">
        <v>1180.23</v>
      </c>
      <c r="O38" s="1">
        <v>1.02</v>
      </c>
      <c r="P38" s="2" t="s">
        <v>52</v>
      </c>
      <c r="Q38" s="13" t="s">
        <v>34</v>
      </c>
    </row>
    <row r="39" spans="1:17" x14ac:dyDescent="0.45">
      <c r="A39" s="10">
        <v>46173</v>
      </c>
      <c r="B39" s="1" t="s">
        <v>110</v>
      </c>
      <c r="C39" s="1" t="s">
        <v>54</v>
      </c>
      <c r="D39" s="1" t="s">
        <v>28</v>
      </c>
      <c r="E39" s="1" t="s">
        <v>82</v>
      </c>
      <c r="F39" s="1" t="s">
        <v>56</v>
      </c>
      <c r="G39" s="1" t="s">
        <v>20</v>
      </c>
      <c r="H39" s="1" t="s">
        <v>33</v>
      </c>
      <c r="I39" s="1">
        <v>39</v>
      </c>
      <c r="J39" s="1">
        <v>35</v>
      </c>
      <c r="K39" s="1">
        <v>0.09</v>
      </c>
      <c r="L39" s="1">
        <v>1365</v>
      </c>
      <c r="M39" s="1">
        <v>1242.1500000000001</v>
      </c>
      <c r="N39" s="1">
        <v>1209.4000000000001</v>
      </c>
      <c r="O39" s="1">
        <v>1.03</v>
      </c>
      <c r="P39" s="2" t="s">
        <v>52</v>
      </c>
      <c r="Q39" s="14" t="s">
        <v>32</v>
      </c>
    </row>
    <row r="40" spans="1:17" x14ac:dyDescent="0.45">
      <c r="A40" s="10">
        <v>46087</v>
      </c>
      <c r="B40" s="1" t="s">
        <v>111</v>
      </c>
      <c r="C40" s="1" t="s">
        <v>49</v>
      </c>
      <c r="D40" s="1" t="s">
        <v>25</v>
      </c>
      <c r="E40" s="1" t="s">
        <v>104</v>
      </c>
      <c r="F40" s="1" t="s">
        <v>56</v>
      </c>
      <c r="G40" s="1" t="s">
        <v>14</v>
      </c>
      <c r="H40" s="1" t="s">
        <v>18</v>
      </c>
      <c r="I40" s="1">
        <v>142</v>
      </c>
      <c r="J40" s="1">
        <v>250</v>
      </c>
      <c r="K40" s="1">
        <v>0.11</v>
      </c>
      <c r="L40" s="1">
        <v>35500</v>
      </c>
      <c r="M40" s="1">
        <v>31595</v>
      </c>
      <c r="N40" s="1">
        <v>37356.51</v>
      </c>
      <c r="O40" s="1">
        <v>0.85</v>
      </c>
      <c r="P40" s="2" t="s">
        <v>52</v>
      </c>
      <c r="Q40" s="13" t="s">
        <v>26</v>
      </c>
    </row>
    <row r="41" spans="1:17" x14ac:dyDescent="0.45">
      <c r="A41" s="10">
        <v>46033</v>
      </c>
      <c r="B41" s="1" t="s">
        <v>112</v>
      </c>
      <c r="C41" s="1" t="s">
        <v>64</v>
      </c>
      <c r="D41" s="1" t="s">
        <v>15</v>
      </c>
      <c r="E41" s="1" t="s">
        <v>55</v>
      </c>
      <c r="F41" s="1" t="s">
        <v>60</v>
      </c>
      <c r="G41" s="1" t="s">
        <v>20</v>
      </c>
      <c r="H41" s="1" t="s">
        <v>23</v>
      </c>
      <c r="I41" s="1">
        <v>143</v>
      </c>
      <c r="J41" s="1">
        <v>180</v>
      </c>
      <c r="K41" s="1">
        <v>0.02</v>
      </c>
      <c r="L41" s="1">
        <v>25740</v>
      </c>
      <c r="M41" s="1">
        <v>25225.200000000001</v>
      </c>
      <c r="N41" s="1">
        <v>26022.89</v>
      </c>
      <c r="O41" s="1">
        <v>0.97</v>
      </c>
      <c r="P41" s="2" t="s">
        <v>73</v>
      </c>
      <c r="Q41" s="14" t="s">
        <v>16</v>
      </c>
    </row>
    <row r="42" spans="1:17" x14ac:dyDescent="0.45">
      <c r="A42" s="10">
        <v>46028</v>
      </c>
      <c r="B42" s="1" t="s">
        <v>113</v>
      </c>
      <c r="C42" s="1" t="s">
        <v>75</v>
      </c>
      <c r="D42" s="1" t="s">
        <v>15</v>
      </c>
      <c r="E42" s="1" t="s">
        <v>62</v>
      </c>
      <c r="F42" s="1" t="s">
        <v>60</v>
      </c>
      <c r="G42" s="1" t="s">
        <v>14</v>
      </c>
      <c r="H42" s="1" t="s">
        <v>18</v>
      </c>
      <c r="I42" s="1">
        <v>138</v>
      </c>
      <c r="J42" s="1">
        <v>250</v>
      </c>
      <c r="K42" s="1">
        <v>0.12</v>
      </c>
      <c r="L42" s="1">
        <v>34500</v>
      </c>
      <c r="M42" s="1">
        <v>30360</v>
      </c>
      <c r="N42" s="1">
        <v>30471.15</v>
      </c>
      <c r="O42" s="1">
        <v>1</v>
      </c>
      <c r="P42" s="2" t="s">
        <v>73</v>
      </c>
      <c r="Q42" s="13" t="s">
        <v>16</v>
      </c>
    </row>
    <row r="43" spans="1:17" x14ac:dyDescent="0.45">
      <c r="A43" s="10">
        <v>46087</v>
      </c>
      <c r="B43" s="1" t="s">
        <v>114</v>
      </c>
      <c r="C43" s="1" t="s">
        <v>54</v>
      </c>
      <c r="D43" s="1" t="s">
        <v>15</v>
      </c>
      <c r="E43" s="1" t="s">
        <v>62</v>
      </c>
      <c r="F43" s="1" t="s">
        <v>71</v>
      </c>
      <c r="G43" s="1" t="s">
        <v>14</v>
      </c>
      <c r="H43" s="1" t="s">
        <v>18</v>
      </c>
      <c r="I43" s="1">
        <v>8</v>
      </c>
      <c r="J43" s="1">
        <v>250</v>
      </c>
      <c r="K43" s="1">
        <v>0.11</v>
      </c>
      <c r="L43" s="1">
        <v>2000</v>
      </c>
      <c r="M43" s="1">
        <v>1780</v>
      </c>
      <c r="N43" s="1">
        <v>1835.32</v>
      </c>
      <c r="O43" s="1">
        <v>0.97</v>
      </c>
      <c r="P43" s="2" t="s">
        <v>52</v>
      </c>
      <c r="Q43" s="14" t="s">
        <v>26</v>
      </c>
    </row>
    <row r="44" spans="1:17" x14ac:dyDescent="0.45">
      <c r="A44" s="10">
        <v>46142</v>
      </c>
      <c r="B44" s="1" t="s">
        <v>115</v>
      </c>
      <c r="C44" s="1" t="s">
        <v>75</v>
      </c>
      <c r="D44" s="1" t="s">
        <v>15</v>
      </c>
      <c r="E44" s="1" t="s">
        <v>55</v>
      </c>
      <c r="F44" s="1" t="s">
        <v>95</v>
      </c>
      <c r="G44" s="1" t="s">
        <v>24</v>
      </c>
      <c r="H44" s="1" t="s">
        <v>30</v>
      </c>
      <c r="I44" s="1">
        <v>149</v>
      </c>
      <c r="J44" s="1">
        <v>40</v>
      </c>
      <c r="K44" s="1">
        <v>7.0000000000000007E-2</v>
      </c>
      <c r="L44" s="1">
        <v>5960</v>
      </c>
      <c r="M44" s="1">
        <v>5542.8</v>
      </c>
      <c r="N44" s="1">
        <v>5161.6499999999996</v>
      </c>
      <c r="O44" s="1">
        <v>1.07</v>
      </c>
      <c r="P44" s="2" t="s">
        <v>73</v>
      </c>
      <c r="Q44" s="13" t="s">
        <v>29</v>
      </c>
    </row>
    <row r="45" spans="1:17" x14ac:dyDescent="0.45">
      <c r="A45" s="10">
        <v>46163</v>
      </c>
      <c r="B45" s="1" t="s">
        <v>116</v>
      </c>
      <c r="C45" s="1" t="s">
        <v>49</v>
      </c>
      <c r="D45" s="1" t="s">
        <v>15</v>
      </c>
      <c r="E45" s="1" t="s">
        <v>62</v>
      </c>
      <c r="F45" s="1" t="s">
        <v>78</v>
      </c>
      <c r="G45" s="1" t="s">
        <v>14</v>
      </c>
      <c r="H45" s="1" t="s">
        <v>18</v>
      </c>
      <c r="I45" s="1">
        <v>167</v>
      </c>
      <c r="J45" s="1">
        <v>250</v>
      </c>
      <c r="K45" s="1">
        <v>0.05</v>
      </c>
      <c r="L45" s="1">
        <v>41750</v>
      </c>
      <c r="M45" s="1">
        <v>39662.5</v>
      </c>
      <c r="N45" s="1">
        <v>32400.89</v>
      </c>
      <c r="O45" s="1">
        <v>1.22</v>
      </c>
      <c r="P45" s="2" t="s">
        <v>73</v>
      </c>
      <c r="Q45" s="14" t="s">
        <v>32</v>
      </c>
    </row>
    <row r="46" spans="1:17" x14ac:dyDescent="0.45">
      <c r="A46" s="10">
        <v>46027</v>
      </c>
      <c r="B46" s="1" t="s">
        <v>117</v>
      </c>
      <c r="C46" s="1" t="s">
        <v>58</v>
      </c>
      <c r="D46" s="1" t="s">
        <v>28</v>
      </c>
      <c r="E46" s="1" t="s">
        <v>65</v>
      </c>
      <c r="F46" s="1" t="s">
        <v>78</v>
      </c>
      <c r="G46" s="1" t="s">
        <v>24</v>
      </c>
      <c r="H46" s="1" t="s">
        <v>30</v>
      </c>
      <c r="I46" s="1">
        <v>141</v>
      </c>
      <c r="J46" s="1">
        <v>40</v>
      </c>
      <c r="K46" s="1">
        <v>0.03</v>
      </c>
      <c r="L46" s="1">
        <v>5640</v>
      </c>
      <c r="M46" s="1">
        <v>5470.8</v>
      </c>
      <c r="N46" s="1">
        <v>5596.35</v>
      </c>
      <c r="O46" s="1">
        <v>0.98</v>
      </c>
      <c r="P46" s="2" t="s">
        <v>52</v>
      </c>
      <c r="Q46" s="13" t="s">
        <v>16</v>
      </c>
    </row>
    <row r="47" spans="1:17" x14ac:dyDescent="0.45">
      <c r="A47" s="10">
        <v>46054</v>
      </c>
      <c r="B47" s="1" t="s">
        <v>118</v>
      </c>
      <c r="C47" s="1" t="s">
        <v>75</v>
      </c>
      <c r="D47" s="1" t="s">
        <v>15</v>
      </c>
      <c r="E47" s="1" t="s">
        <v>62</v>
      </c>
      <c r="F47" s="1" t="s">
        <v>95</v>
      </c>
      <c r="G47" s="1" t="s">
        <v>24</v>
      </c>
      <c r="H47" s="1" t="s">
        <v>30</v>
      </c>
      <c r="I47" s="1">
        <v>31</v>
      </c>
      <c r="J47" s="1">
        <v>40</v>
      </c>
      <c r="K47" s="1">
        <v>0.03</v>
      </c>
      <c r="L47" s="1">
        <v>1240</v>
      </c>
      <c r="M47" s="1">
        <v>1202.8</v>
      </c>
      <c r="N47" s="1">
        <v>985.12</v>
      </c>
      <c r="O47" s="1">
        <v>1.22</v>
      </c>
      <c r="P47" s="2" t="s">
        <v>52</v>
      </c>
      <c r="Q47" s="14" t="s">
        <v>22</v>
      </c>
    </row>
    <row r="48" spans="1:17" x14ac:dyDescent="0.45">
      <c r="A48" s="10">
        <v>46128</v>
      </c>
      <c r="B48" s="1" t="s">
        <v>119</v>
      </c>
      <c r="C48" s="1" t="s">
        <v>49</v>
      </c>
      <c r="D48" s="1" t="s">
        <v>25</v>
      </c>
      <c r="E48" s="1" t="s">
        <v>68</v>
      </c>
      <c r="F48" s="1" t="s">
        <v>56</v>
      </c>
      <c r="G48" s="1" t="s">
        <v>24</v>
      </c>
      <c r="H48" s="1" t="s">
        <v>30</v>
      </c>
      <c r="I48" s="1">
        <v>27</v>
      </c>
      <c r="J48" s="1">
        <v>40</v>
      </c>
      <c r="K48" s="1">
        <v>0.06</v>
      </c>
      <c r="L48" s="1">
        <v>1080</v>
      </c>
      <c r="M48" s="1">
        <v>1015.2</v>
      </c>
      <c r="N48" s="1">
        <v>1078.8399999999999</v>
      </c>
      <c r="O48" s="1">
        <v>0.94</v>
      </c>
      <c r="P48" s="2" t="s">
        <v>73</v>
      </c>
      <c r="Q48" s="13" t="s">
        <v>29</v>
      </c>
    </row>
    <row r="49" spans="1:17" x14ac:dyDescent="0.45">
      <c r="A49" s="10">
        <v>46103</v>
      </c>
      <c r="B49" s="1" t="s">
        <v>120</v>
      </c>
      <c r="C49" s="1" t="s">
        <v>54</v>
      </c>
      <c r="D49" s="1" t="s">
        <v>15</v>
      </c>
      <c r="E49" s="1" t="s">
        <v>62</v>
      </c>
      <c r="F49" s="1" t="s">
        <v>60</v>
      </c>
      <c r="G49" s="1" t="s">
        <v>24</v>
      </c>
      <c r="H49" s="1" t="s">
        <v>35</v>
      </c>
      <c r="I49" s="1">
        <v>70</v>
      </c>
      <c r="J49" s="1">
        <v>30</v>
      </c>
      <c r="K49" s="1">
        <v>0.12</v>
      </c>
      <c r="L49" s="1">
        <v>2100</v>
      </c>
      <c r="M49" s="1">
        <v>1848</v>
      </c>
      <c r="N49" s="1">
        <v>2167.8000000000002</v>
      </c>
      <c r="O49" s="1">
        <v>0.85</v>
      </c>
      <c r="P49" s="2" t="s">
        <v>73</v>
      </c>
      <c r="Q49" s="14" t="s">
        <v>26</v>
      </c>
    </row>
    <row r="50" spans="1:17" x14ac:dyDescent="0.45">
      <c r="A50" s="10">
        <v>46153</v>
      </c>
      <c r="B50" s="1" t="s">
        <v>121</v>
      </c>
      <c r="C50" s="1" t="s">
        <v>49</v>
      </c>
      <c r="D50" s="1" t="s">
        <v>15</v>
      </c>
      <c r="E50" s="1" t="s">
        <v>62</v>
      </c>
      <c r="F50" s="1" t="s">
        <v>95</v>
      </c>
      <c r="G50" s="1" t="s">
        <v>24</v>
      </c>
      <c r="H50" s="1" t="s">
        <v>35</v>
      </c>
      <c r="I50" s="1">
        <v>6</v>
      </c>
      <c r="J50" s="1">
        <v>30</v>
      </c>
      <c r="K50" s="1">
        <v>0.02</v>
      </c>
      <c r="L50" s="1">
        <v>180</v>
      </c>
      <c r="M50" s="1">
        <v>176.4</v>
      </c>
      <c r="N50" s="1">
        <v>173.03</v>
      </c>
      <c r="O50" s="1">
        <v>1.02</v>
      </c>
      <c r="P50" s="2" t="s">
        <v>73</v>
      </c>
      <c r="Q50" s="13" t="s">
        <v>32</v>
      </c>
    </row>
    <row r="51" spans="1:17" x14ac:dyDescent="0.45">
      <c r="A51" s="10">
        <v>46191</v>
      </c>
      <c r="B51" s="1" t="s">
        <v>122</v>
      </c>
      <c r="C51" s="1" t="s">
        <v>49</v>
      </c>
      <c r="D51" s="1" t="s">
        <v>25</v>
      </c>
      <c r="E51" s="1" t="s">
        <v>104</v>
      </c>
      <c r="F51" s="1" t="s">
        <v>71</v>
      </c>
      <c r="G51" s="1" t="s">
        <v>20</v>
      </c>
      <c r="H51" s="1" t="s">
        <v>33</v>
      </c>
      <c r="I51" s="1">
        <v>42</v>
      </c>
      <c r="J51" s="1">
        <v>35</v>
      </c>
      <c r="K51" s="1">
        <v>0.06</v>
      </c>
      <c r="L51" s="1">
        <v>1470</v>
      </c>
      <c r="M51" s="1">
        <v>1381.8</v>
      </c>
      <c r="N51" s="1">
        <v>1534.37</v>
      </c>
      <c r="O51" s="1">
        <v>0.9</v>
      </c>
      <c r="P51" s="2" t="s">
        <v>52</v>
      </c>
      <c r="Q51" s="14" t="s">
        <v>34</v>
      </c>
    </row>
    <row r="52" spans="1:17" x14ac:dyDescent="0.45">
      <c r="A52" s="10">
        <v>46097</v>
      </c>
      <c r="B52" s="1" t="s">
        <v>123</v>
      </c>
      <c r="C52" s="1" t="s">
        <v>49</v>
      </c>
      <c r="D52" s="1" t="s">
        <v>28</v>
      </c>
      <c r="E52" s="1" t="s">
        <v>65</v>
      </c>
      <c r="F52" s="1" t="s">
        <v>78</v>
      </c>
      <c r="G52" s="1" t="s">
        <v>14</v>
      </c>
      <c r="H52" s="1" t="s">
        <v>18</v>
      </c>
      <c r="I52" s="1">
        <v>36</v>
      </c>
      <c r="J52" s="1">
        <v>250</v>
      </c>
      <c r="K52" s="1">
        <v>0.05</v>
      </c>
      <c r="L52" s="1">
        <v>9000</v>
      </c>
      <c r="M52" s="1">
        <v>8550</v>
      </c>
      <c r="N52" s="1">
        <v>6890.4</v>
      </c>
      <c r="O52" s="1">
        <v>1.24</v>
      </c>
      <c r="P52" s="2" t="s">
        <v>73</v>
      </c>
      <c r="Q52" s="13" t="s">
        <v>26</v>
      </c>
    </row>
    <row r="53" spans="1:17" x14ac:dyDescent="0.45">
      <c r="A53" s="10">
        <v>46152</v>
      </c>
      <c r="B53" s="1" t="s">
        <v>124</v>
      </c>
      <c r="C53" s="1" t="s">
        <v>75</v>
      </c>
      <c r="D53" s="1" t="s">
        <v>28</v>
      </c>
      <c r="E53" s="1" t="s">
        <v>65</v>
      </c>
      <c r="F53" s="1" t="s">
        <v>51</v>
      </c>
      <c r="G53" s="1" t="s">
        <v>20</v>
      </c>
      <c r="H53" s="1" t="s">
        <v>23</v>
      </c>
      <c r="I53" s="1">
        <v>49</v>
      </c>
      <c r="J53" s="1">
        <v>180</v>
      </c>
      <c r="K53" s="1">
        <v>0.12</v>
      </c>
      <c r="L53" s="1">
        <v>8820</v>
      </c>
      <c r="M53" s="1">
        <v>7761.6</v>
      </c>
      <c r="N53" s="1">
        <v>8124.95</v>
      </c>
      <c r="O53" s="1">
        <v>0.96</v>
      </c>
      <c r="P53" s="2" t="s">
        <v>52</v>
      </c>
      <c r="Q53" s="14" t="s">
        <v>32</v>
      </c>
    </row>
    <row r="54" spans="1:17" x14ac:dyDescent="0.45">
      <c r="A54" s="10">
        <v>46144</v>
      </c>
      <c r="B54" s="1" t="s">
        <v>125</v>
      </c>
      <c r="C54" s="1" t="s">
        <v>58</v>
      </c>
      <c r="D54" s="1" t="s">
        <v>28</v>
      </c>
      <c r="E54" s="1" t="s">
        <v>82</v>
      </c>
      <c r="F54" s="1" t="s">
        <v>60</v>
      </c>
      <c r="G54" s="1" t="s">
        <v>24</v>
      </c>
      <c r="H54" s="1" t="s">
        <v>30</v>
      </c>
      <c r="I54" s="1">
        <v>81</v>
      </c>
      <c r="J54" s="1">
        <v>40</v>
      </c>
      <c r="K54" s="1">
        <v>0.01</v>
      </c>
      <c r="L54" s="1">
        <v>3240</v>
      </c>
      <c r="M54" s="1">
        <v>3207.6</v>
      </c>
      <c r="N54" s="1">
        <v>2730.11</v>
      </c>
      <c r="O54" s="1">
        <v>1.17</v>
      </c>
      <c r="P54" s="2" t="s">
        <v>73</v>
      </c>
      <c r="Q54" s="13" t="s">
        <v>32</v>
      </c>
    </row>
    <row r="55" spans="1:17" x14ac:dyDescent="0.45">
      <c r="A55" s="10">
        <v>46139</v>
      </c>
      <c r="B55" s="1" t="s">
        <v>126</v>
      </c>
      <c r="C55" s="1" t="s">
        <v>75</v>
      </c>
      <c r="D55" s="1" t="s">
        <v>21</v>
      </c>
      <c r="E55" s="1" t="s">
        <v>80</v>
      </c>
      <c r="F55" s="1" t="s">
        <v>95</v>
      </c>
      <c r="G55" s="1" t="s">
        <v>20</v>
      </c>
      <c r="H55" s="1" t="s">
        <v>33</v>
      </c>
      <c r="I55" s="1">
        <v>134</v>
      </c>
      <c r="J55" s="1">
        <v>35</v>
      </c>
      <c r="K55" s="1">
        <v>0.04</v>
      </c>
      <c r="L55" s="1">
        <v>4690</v>
      </c>
      <c r="M55" s="1">
        <v>4502.3999999999996</v>
      </c>
      <c r="N55" s="1">
        <v>4357.7700000000004</v>
      </c>
      <c r="O55" s="1">
        <v>1.03</v>
      </c>
      <c r="P55" s="2" t="s">
        <v>52</v>
      </c>
      <c r="Q55" s="14" t="s">
        <v>29</v>
      </c>
    </row>
    <row r="56" spans="1:17" x14ac:dyDescent="0.45">
      <c r="A56" s="10">
        <v>46189</v>
      </c>
      <c r="B56" s="1" t="s">
        <v>127</v>
      </c>
      <c r="C56" s="1" t="s">
        <v>54</v>
      </c>
      <c r="D56" s="1" t="s">
        <v>28</v>
      </c>
      <c r="E56" s="1" t="s">
        <v>70</v>
      </c>
      <c r="F56" s="1" t="s">
        <v>56</v>
      </c>
      <c r="G56" s="1" t="s">
        <v>14</v>
      </c>
      <c r="H56" s="1" t="s">
        <v>27</v>
      </c>
      <c r="I56" s="1">
        <v>169</v>
      </c>
      <c r="J56" s="1">
        <v>120</v>
      </c>
      <c r="K56" s="1">
        <v>0.02</v>
      </c>
      <c r="L56" s="1">
        <v>20280</v>
      </c>
      <c r="M56" s="1">
        <v>19874.400000000001</v>
      </c>
      <c r="N56" s="1">
        <v>16676.580000000002</v>
      </c>
      <c r="O56" s="1">
        <v>1.19</v>
      </c>
      <c r="P56" s="2" t="s">
        <v>73</v>
      </c>
      <c r="Q56" s="13" t="s">
        <v>34</v>
      </c>
    </row>
    <row r="57" spans="1:17" x14ac:dyDescent="0.45">
      <c r="A57" s="10">
        <v>46055</v>
      </c>
      <c r="B57" s="1" t="s">
        <v>128</v>
      </c>
      <c r="C57" s="1" t="s">
        <v>67</v>
      </c>
      <c r="D57" s="1" t="s">
        <v>21</v>
      </c>
      <c r="E57" s="1" t="s">
        <v>80</v>
      </c>
      <c r="F57" s="1" t="s">
        <v>60</v>
      </c>
      <c r="G57" s="1" t="s">
        <v>24</v>
      </c>
      <c r="H57" s="1" t="s">
        <v>30</v>
      </c>
      <c r="I57" s="1">
        <v>113</v>
      </c>
      <c r="J57" s="1">
        <v>40</v>
      </c>
      <c r="K57" s="1">
        <v>0.05</v>
      </c>
      <c r="L57" s="1">
        <v>4520</v>
      </c>
      <c r="M57" s="1">
        <v>4294</v>
      </c>
      <c r="N57" s="1">
        <v>3637.76</v>
      </c>
      <c r="O57" s="1">
        <v>1.18</v>
      </c>
      <c r="P57" s="2" t="s">
        <v>52</v>
      </c>
      <c r="Q57" s="14" t="s">
        <v>22</v>
      </c>
    </row>
    <row r="58" spans="1:17" x14ac:dyDescent="0.45">
      <c r="A58" s="10">
        <v>46099</v>
      </c>
      <c r="B58" s="1" t="s">
        <v>129</v>
      </c>
      <c r="C58" s="1" t="s">
        <v>58</v>
      </c>
      <c r="D58" s="1" t="s">
        <v>21</v>
      </c>
      <c r="E58" s="1" t="s">
        <v>80</v>
      </c>
      <c r="F58" s="1" t="s">
        <v>51</v>
      </c>
      <c r="G58" s="1" t="s">
        <v>20</v>
      </c>
      <c r="H58" s="1" t="s">
        <v>33</v>
      </c>
      <c r="I58" s="1">
        <v>105</v>
      </c>
      <c r="J58" s="1">
        <v>35</v>
      </c>
      <c r="K58" s="1">
        <v>0.13</v>
      </c>
      <c r="L58" s="1">
        <v>3675</v>
      </c>
      <c r="M58" s="1">
        <v>3197.25</v>
      </c>
      <c r="N58" s="1">
        <v>3775.81</v>
      </c>
      <c r="O58" s="1">
        <v>0.85</v>
      </c>
      <c r="P58" s="2" t="s">
        <v>73</v>
      </c>
      <c r="Q58" s="13" t="s">
        <v>26</v>
      </c>
    </row>
    <row r="59" spans="1:17" x14ac:dyDescent="0.45">
      <c r="A59" s="10">
        <v>46060</v>
      </c>
      <c r="B59" s="1" t="s">
        <v>130</v>
      </c>
      <c r="C59" s="1" t="s">
        <v>49</v>
      </c>
      <c r="D59" s="1" t="s">
        <v>15</v>
      </c>
      <c r="E59" s="1" t="s">
        <v>62</v>
      </c>
      <c r="F59" s="1" t="s">
        <v>78</v>
      </c>
      <c r="G59" s="1" t="s">
        <v>24</v>
      </c>
      <c r="H59" s="1" t="s">
        <v>35</v>
      </c>
      <c r="I59" s="1">
        <v>164</v>
      </c>
      <c r="J59" s="1">
        <v>30</v>
      </c>
      <c r="K59" s="1">
        <v>0.04</v>
      </c>
      <c r="L59" s="1">
        <v>4920</v>
      </c>
      <c r="M59" s="1">
        <v>4723.2</v>
      </c>
      <c r="N59" s="1">
        <v>4562.76</v>
      </c>
      <c r="O59" s="1">
        <v>1.04</v>
      </c>
      <c r="P59" s="2" t="s">
        <v>73</v>
      </c>
      <c r="Q59" s="14" t="s">
        <v>22</v>
      </c>
    </row>
    <row r="60" spans="1:17" x14ac:dyDescent="0.45">
      <c r="A60" s="10">
        <v>46030</v>
      </c>
      <c r="B60" s="1" t="s">
        <v>131</v>
      </c>
      <c r="C60" s="1" t="s">
        <v>58</v>
      </c>
      <c r="D60" s="1" t="s">
        <v>15</v>
      </c>
      <c r="E60" s="1" t="s">
        <v>62</v>
      </c>
      <c r="F60" s="1" t="s">
        <v>56</v>
      </c>
      <c r="G60" s="1" t="s">
        <v>20</v>
      </c>
      <c r="H60" s="1" t="s">
        <v>23</v>
      </c>
      <c r="I60" s="1">
        <v>189</v>
      </c>
      <c r="J60" s="1">
        <v>180</v>
      </c>
      <c r="K60" s="1">
        <v>7.0000000000000007E-2</v>
      </c>
      <c r="L60" s="1">
        <v>34020</v>
      </c>
      <c r="M60" s="1">
        <v>31638.6</v>
      </c>
      <c r="N60" s="1">
        <v>32664.78</v>
      </c>
      <c r="O60" s="1">
        <v>0.97</v>
      </c>
      <c r="P60" s="2" t="s">
        <v>52</v>
      </c>
      <c r="Q60" s="13" t="s">
        <v>16</v>
      </c>
    </row>
    <row r="61" spans="1:17" x14ac:dyDescent="0.45">
      <c r="A61" s="10">
        <v>46092</v>
      </c>
      <c r="B61" s="1" t="s">
        <v>132</v>
      </c>
      <c r="C61" s="1" t="s">
        <v>49</v>
      </c>
      <c r="D61" s="1" t="s">
        <v>25</v>
      </c>
      <c r="E61" s="1" t="s">
        <v>104</v>
      </c>
      <c r="F61" s="1" t="s">
        <v>56</v>
      </c>
      <c r="G61" s="1" t="s">
        <v>14</v>
      </c>
      <c r="H61" s="1" t="s">
        <v>18</v>
      </c>
      <c r="I61" s="1">
        <v>13</v>
      </c>
      <c r="J61" s="1">
        <v>250</v>
      </c>
      <c r="K61" s="1">
        <v>0.14000000000000001</v>
      </c>
      <c r="L61" s="1">
        <v>3250</v>
      </c>
      <c r="M61" s="1">
        <v>2795</v>
      </c>
      <c r="N61" s="1">
        <v>2547.87</v>
      </c>
      <c r="O61" s="1">
        <v>1.1000000000000001</v>
      </c>
      <c r="P61" s="2" t="s">
        <v>73</v>
      </c>
      <c r="Q61" s="14" t="s">
        <v>26</v>
      </c>
    </row>
    <row r="62" spans="1:17" x14ac:dyDescent="0.45">
      <c r="A62" s="10">
        <v>46153</v>
      </c>
      <c r="B62" s="1" t="s">
        <v>133</v>
      </c>
      <c r="C62" s="1" t="s">
        <v>54</v>
      </c>
      <c r="D62" s="1" t="s">
        <v>28</v>
      </c>
      <c r="E62" s="1" t="s">
        <v>70</v>
      </c>
      <c r="F62" s="1" t="s">
        <v>71</v>
      </c>
      <c r="G62" s="1" t="s">
        <v>24</v>
      </c>
      <c r="H62" s="1" t="s">
        <v>35</v>
      </c>
      <c r="I62" s="1">
        <v>189</v>
      </c>
      <c r="J62" s="1">
        <v>30</v>
      </c>
      <c r="K62" s="1">
        <v>0.03</v>
      </c>
      <c r="L62" s="1">
        <v>5670</v>
      </c>
      <c r="M62" s="1">
        <v>5499.9</v>
      </c>
      <c r="N62" s="1">
        <v>5665.99</v>
      </c>
      <c r="O62" s="1">
        <v>0.97</v>
      </c>
      <c r="P62" s="2" t="s">
        <v>73</v>
      </c>
      <c r="Q62" s="13" t="s">
        <v>32</v>
      </c>
    </row>
    <row r="63" spans="1:17" x14ac:dyDescent="0.45">
      <c r="A63" s="10">
        <v>46139</v>
      </c>
      <c r="B63" s="1" t="s">
        <v>134</v>
      </c>
      <c r="C63" s="1" t="s">
        <v>64</v>
      </c>
      <c r="D63" s="1" t="s">
        <v>15</v>
      </c>
      <c r="E63" s="1" t="s">
        <v>62</v>
      </c>
      <c r="F63" s="1" t="s">
        <v>78</v>
      </c>
      <c r="G63" s="1" t="s">
        <v>20</v>
      </c>
      <c r="H63" s="1" t="s">
        <v>23</v>
      </c>
      <c r="I63" s="1">
        <v>39</v>
      </c>
      <c r="J63" s="1">
        <v>180</v>
      </c>
      <c r="K63" s="1">
        <v>0.08</v>
      </c>
      <c r="L63" s="1">
        <v>7020</v>
      </c>
      <c r="M63" s="1">
        <v>6458.4</v>
      </c>
      <c r="N63" s="1">
        <v>6442.56</v>
      </c>
      <c r="O63" s="1">
        <v>1</v>
      </c>
      <c r="P63" s="2" t="s">
        <v>52</v>
      </c>
      <c r="Q63" s="14" t="s">
        <v>29</v>
      </c>
    </row>
    <row r="64" spans="1:17" x14ac:dyDescent="0.45">
      <c r="A64" s="10">
        <v>46111</v>
      </c>
      <c r="B64" s="1" t="s">
        <v>135</v>
      </c>
      <c r="C64" s="1" t="s">
        <v>75</v>
      </c>
      <c r="D64" s="1" t="s">
        <v>21</v>
      </c>
      <c r="E64" s="1" t="s">
        <v>80</v>
      </c>
      <c r="F64" s="1" t="s">
        <v>56</v>
      </c>
      <c r="G64" s="1" t="s">
        <v>24</v>
      </c>
      <c r="H64" s="1" t="s">
        <v>35</v>
      </c>
      <c r="I64" s="1">
        <v>141</v>
      </c>
      <c r="J64" s="1">
        <v>30</v>
      </c>
      <c r="K64" s="1">
        <v>0.14000000000000001</v>
      </c>
      <c r="L64" s="1">
        <v>4230</v>
      </c>
      <c r="M64" s="1">
        <v>3637.8</v>
      </c>
      <c r="N64" s="1">
        <v>3856.69</v>
      </c>
      <c r="O64" s="1">
        <v>0.94</v>
      </c>
      <c r="P64" s="2" t="s">
        <v>73</v>
      </c>
      <c r="Q64" s="13" t="s">
        <v>26</v>
      </c>
    </row>
    <row r="65" spans="1:17" x14ac:dyDescent="0.45">
      <c r="A65" s="10">
        <v>46084</v>
      </c>
      <c r="B65" s="1" t="s">
        <v>136</v>
      </c>
      <c r="C65" s="1" t="s">
        <v>67</v>
      </c>
      <c r="D65" s="1" t="s">
        <v>15</v>
      </c>
      <c r="E65" s="1" t="s">
        <v>62</v>
      </c>
      <c r="F65" s="1" t="s">
        <v>56</v>
      </c>
      <c r="G65" s="1" t="s">
        <v>24</v>
      </c>
      <c r="H65" s="1" t="s">
        <v>30</v>
      </c>
      <c r="I65" s="1">
        <v>83</v>
      </c>
      <c r="J65" s="1">
        <v>40</v>
      </c>
      <c r="K65" s="1">
        <v>0</v>
      </c>
      <c r="L65" s="1">
        <v>3320</v>
      </c>
      <c r="M65" s="1">
        <v>3320</v>
      </c>
      <c r="N65" s="1">
        <v>3586.3</v>
      </c>
      <c r="O65" s="1">
        <v>0.93</v>
      </c>
      <c r="P65" s="2" t="s">
        <v>52</v>
      </c>
      <c r="Q65" s="14" t="s">
        <v>26</v>
      </c>
    </row>
    <row r="66" spans="1:17" x14ac:dyDescent="0.45">
      <c r="A66" s="10">
        <v>46192</v>
      </c>
      <c r="B66" s="1" t="s">
        <v>137</v>
      </c>
      <c r="C66" s="1" t="s">
        <v>75</v>
      </c>
      <c r="D66" s="1" t="s">
        <v>15</v>
      </c>
      <c r="E66" s="1" t="s">
        <v>62</v>
      </c>
      <c r="F66" s="1" t="s">
        <v>60</v>
      </c>
      <c r="G66" s="1" t="s">
        <v>24</v>
      </c>
      <c r="H66" s="1" t="s">
        <v>30</v>
      </c>
      <c r="I66" s="1">
        <v>56</v>
      </c>
      <c r="J66" s="1">
        <v>40</v>
      </c>
      <c r="K66" s="1">
        <v>0.04</v>
      </c>
      <c r="L66" s="1">
        <v>2240</v>
      </c>
      <c r="M66" s="1">
        <v>2150.4</v>
      </c>
      <c r="N66" s="1">
        <v>2203.34</v>
      </c>
      <c r="O66" s="1">
        <v>0.98</v>
      </c>
      <c r="P66" s="2" t="s">
        <v>52</v>
      </c>
      <c r="Q66" s="13" t="s">
        <v>34</v>
      </c>
    </row>
    <row r="67" spans="1:17" x14ac:dyDescent="0.45">
      <c r="A67" s="10">
        <v>46190</v>
      </c>
      <c r="B67" s="1" t="s">
        <v>138</v>
      </c>
      <c r="C67" s="1" t="s">
        <v>49</v>
      </c>
      <c r="D67" s="1" t="s">
        <v>21</v>
      </c>
      <c r="E67" s="1" t="s">
        <v>80</v>
      </c>
      <c r="F67" s="1" t="s">
        <v>71</v>
      </c>
      <c r="G67" s="1" t="s">
        <v>20</v>
      </c>
      <c r="H67" s="1" t="s">
        <v>23</v>
      </c>
      <c r="I67" s="1">
        <v>81</v>
      </c>
      <c r="J67" s="1">
        <v>180</v>
      </c>
      <c r="K67" s="1">
        <v>0.11</v>
      </c>
      <c r="L67" s="1">
        <v>14580</v>
      </c>
      <c r="M67" s="1">
        <v>12976.2</v>
      </c>
      <c r="N67" s="1">
        <v>14724.82</v>
      </c>
      <c r="O67" s="1">
        <v>0.88</v>
      </c>
      <c r="P67" s="2" t="s">
        <v>52</v>
      </c>
      <c r="Q67" s="14" t="s">
        <v>34</v>
      </c>
    </row>
    <row r="68" spans="1:17" x14ac:dyDescent="0.45">
      <c r="A68" s="10">
        <v>46147</v>
      </c>
      <c r="B68" s="1" t="s">
        <v>139</v>
      </c>
      <c r="C68" s="1" t="s">
        <v>64</v>
      </c>
      <c r="D68" s="1" t="s">
        <v>28</v>
      </c>
      <c r="E68" s="1" t="s">
        <v>65</v>
      </c>
      <c r="F68" s="1" t="s">
        <v>56</v>
      </c>
      <c r="G68" s="1" t="s">
        <v>20</v>
      </c>
      <c r="H68" s="1" t="s">
        <v>23</v>
      </c>
      <c r="I68" s="1">
        <v>14</v>
      </c>
      <c r="J68" s="1">
        <v>180</v>
      </c>
      <c r="K68" s="1">
        <v>0.04</v>
      </c>
      <c r="L68" s="1">
        <v>2520</v>
      </c>
      <c r="M68" s="1">
        <v>2419.1999999999998</v>
      </c>
      <c r="N68" s="1">
        <v>2889.8</v>
      </c>
      <c r="O68" s="1">
        <v>0.84</v>
      </c>
      <c r="P68" s="2" t="s">
        <v>52</v>
      </c>
      <c r="Q68" s="13" t="s">
        <v>32</v>
      </c>
    </row>
    <row r="69" spans="1:17" x14ac:dyDescent="0.45">
      <c r="A69" s="10">
        <v>46074</v>
      </c>
      <c r="B69" s="1" t="s">
        <v>140</v>
      </c>
      <c r="C69" s="1" t="s">
        <v>67</v>
      </c>
      <c r="D69" s="1" t="s">
        <v>15</v>
      </c>
      <c r="E69" s="1" t="s">
        <v>55</v>
      </c>
      <c r="F69" s="1" t="s">
        <v>51</v>
      </c>
      <c r="G69" s="1" t="s">
        <v>24</v>
      </c>
      <c r="H69" s="1" t="s">
        <v>30</v>
      </c>
      <c r="I69" s="1">
        <v>70</v>
      </c>
      <c r="J69" s="1">
        <v>40</v>
      </c>
      <c r="K69" s="1">
        <v>0.12</v>
      </c>
      <c r="L69" s="1">
        <v>2800</v>
      </c>
      <c r="M69" s="1">
        <v>2464</v>
      </c>
      <c r="N69" s="1">
        <v>2061.5</v>
      </c>
      <c r="O69" s="1">
        <v>1.2</v>
      </c>
      <c r="P69" s="2" t="s">
        <v>73</v>
      </c>
      <c r="Q69" s="14" t="s">
        <v>22</v>
      </c>
    </row>
    <row r="70" spans="1:17" x14ac:dyDescent="0.45">
      <c r="A70" s="10">
        <v>46192</v>
      </c>
      <c r="B70" s="1" t="s">
        <v>141</v>
      </c>
      <c r="C70" s="1" t="s">
        <v>54</v>
      </c>
      <c r="D70" s="1" t="s">
        <v>15</v>
      </c>
      <c r="E70" s="1" t="s">
        <v>62</v>
      </c>
      <c r="F70" s="1" t="s">
        <v>51</v>
      </c>
      <c r="G70" s="1" t="s">
        <v>14</v>
      </c>
      <c r="H70" s="1" t="s">
        <v>18</v>
      </c>
      <c r="I70" s="1">
        <v>80</v>
      </c>
      <c r="J70" s="1">
        <v>250</v>
      </c>
      <c r="K70" s="1">
        <v>0.03</v>
      </c>
      <c r="L70" s="1">
        <v>20000</v>
      </c>
      <c r="M70" s="1">
        <v>19400</v>
      </c>
      <c r="N70" s="1">
        <v>20189.009999999998</v>
      </c>
      <c r="O70" s="1">
        <v>0.96</v>
      </c>
      <c r="P70" s="2" t="s">
        <v>52</v>
      </c>
      <c r="Q70" s="13" t="s">
        <v>34</v>
      </c>
    </row>
    <row r="71" spans="1:17" x14ac:dyDescent="0.45">
      <c r="A71" s="10">
        <v>46180</v>
      </c>
      <c r="B71" s="1" t="s">
        <v>142</v>
      </c>
      <c r="C71" s="1" t="s">
        <v>54</v>
      </c>
      <c r="D71" s="1" t="s">
        <v>21</v>
      </c>
      <c r="E71" s="1" t="s">
        <v>80</v>
      </c>
      <c r="F71" s="1" t="s">
        <v>78</v>
      </c>
      <c r="G71" s="1" t="s">
        <v>20</v>
      </c>
      <c r="H71" s="1" t="s">
        <v>23</v>
      </c>
      <c r="I71" s="1">
        <v>87</v>
      </c>
      <c r="J71" s="1">
        <v>180</v>
      </c>
      <c r="K71" s="1">
        <v>0.06</v>
      </c>
      <c r="L71" s="1">
        <v>15660</v>
      </c>
      <c r="M71" s="1">
        <v>14720.4</v>
      </c>
      <c r="N71" s="1">
        <v>14090.03</v>
      </c>
      <c r="O71" s="1">
        <v>1.04</v>
      </c>
      <c r="P71" s="2" t="s">
        <v>52</v>
      </c>
      <c r="Q71" s="14" t="s">
        <v>34</v>
      </c>
    </row>
    <row r="72" spans="1:17" x14ac:dyDescent="0.45">
      <c r="A72" s="10">
        <v>46037</v>
      </c>
      <c r="B72" s="1" t="s">
        <v>143</v>
      </c>
      <c r="C72" s="1" t="s">
        <v>75</v>
      </c>
      <c r="D72" s="1" t="s">
        <v>28</v>
      </c>
      <c r="E72" s="1" t="s">
        <v>65</v>
      </c>
      <c r="F72" s="1" t="s">
        <v>71</v>
      </c>
      <c r="G72" s="1" t="s">
        <v>24</v>
      </c>
      <c r="H72" s="1" t="s">
        <v>30</v>
      </c>
      <c r="I72" s="1">
        <v>164</v>
      </c>
      <c r="J72" s="1">
        <v>40</v>
      </c>
      <c r="K72" s="1">
        <v>0.1</v>
      </c>
      <c r="L72" s="1">
        <v>6560</v>
      </c>
      <c r="M72" s="1">
        <v>5904</v>
      </c>
      <c r="N72" s="1">
        <v>7064.94</v>
      </c>
      <c r="O72" s="1">
        <v>0.84</v>
      </c>
      <c r="P72" s="2" t="s">
        <v>52</v>
      </c>
      <c r="Q72" s="13" t="s">
        <v>16</v>
      </c>
    </row>
    <row r="73" spans="1:17" x14ac:dyDescent="0.45">
      <c r="A73" s="10">
        <v>46131</v>
      </c>
      <c r="B73" s="1" t="s">
        <v>144</v>
      </c>
      <c r="C73" s="1" t="s">
        <v>67</v>
      </c>
      <c r="D73" s="1" t="s">
        <v>28</v>
      </c>
      <c r="E73" s="1" t="s">
        <v>70</v>
      </c>
      <c r="F73" s="1" t="s">
        <v>51</v>
      </c>
      <c r="G73" s="1" t="s">
        <v>14</v>
      </c>
      <c r="H73" s="1" t="s">
        <v>18</v>
      </c>
      <c r="I73" s="1">
        <v>47</v>
      </c>
      <c r="J73" s="1">
        <v>250</v>
      </c>
      <c r="K73" s="1">
        <v>0.04</v>
      </c>
      <c r="L73" s="1">
        <v>11750</v>
      </c>
      <c r="M73" s="1">
        <v>11280</v>
      </c>
      <c r="N73" s="1">
        <v>11075.71</v>
      </c>
      <c r="O73" s="1">
        <v>1.02</v>
      </c>
      <c r="P73" s="2" t="s">
        <v>73</v>
      </c>
      <c r="Q73" s="14" t="s">
        <v>29</v>
      </c>
    </row>
    <row r="74" spans="1:17" x14ac:dyDescent="0.45">
      <c r="A74" s="10">
        <v>46146</v>
      </c>
      <c r="B74" s="1" t="s">
        <v>145</v>
      </c>
      <c r="C74" s="1" t="s">
        <v>67</v>
      </c>
      <c r="D74" s="1" t="s">
        <v>25</v>
      </c>
      <c r="E74" s="1" t="s">
        <v>104</v>
      </c>
      <c r="F74" s="1" t="s">
        <v>51</v>
      </c>
      <c r="G74" s="1" t="s">
        <v>24</v>
      </c>
      <c r="H74" s="1" t="s">
        <v>30</v>
      </c>
      <c r="I74" s="1">
        <v>123</v>
      </c>
      <c r="J74" s="1">
        <v>40</v>
      </c>
      <c r="K74" s="1">
        <v>0.15</v>
      </c>
      <c r="L74" s="1">
        <v>4920</v>
      </c>
      <c r="M74" s="1">
        <v>4182</v>
      </c>
      <c r="N74" s="1">
        <v>4119.75</v>
      </c>
      <c r="O74" s="1">
        <v>1.02</v>
      </c>
      <c r="P74" s="2" t="s">
        <v>73</v>
      </c>
      <c r="Q74" s="13" t="s">
        <v>32</v>
      </c>
    </row>
    <row r="75" spans="1:17" x14ac:dyDescent="0.45">
      <c r="A75" s="10">
        <v>46140</v>
      </c>
      <c r="B75" s="1" t="s">
        <v>146</v>
      </c>
      <c r="C75" s="1" t="s">
        <v>49</v>
      </c>
      <c r="D75" s="1" t="s">
        <v>15</v>
      </c>
      <c r="E75" s="1" t="s">
        <v>62</v>
      </c>
      <c r="F75" s="1" t="s">
        <v>95</v>
      </c>
      <c r="G75" s="1" t="s">
        <v>24</v>
      </c>
      <c r="H75" s="1" t="s">
        <v>35</v>
      </c>
      <c r="I75" s="1">
        <v>88</v>
      </c>
      <c r="J75" s="1">
        <v>30</v>
      </c>
      <c r="K75" s="1">
        <v>0.02</v>
      </c>
      <c r="L75" s="1">
        <v>2640</v>
      </c>
      <c r="M75" s="1">
        <v>2587.1999999999998</v>
      </c>
      <c r="N75" s="1">
        <v>2286.4499999999998</v>
      </c>
      <c r="O75" s="1">
        <v>1.1299999999999999</v>
      </c>
      <c r="P75" s="2" t="s">
        <v>52</v>
      </c>
      <c r="Q75" s="14" t="s">
        <v>29</v>
      </c>
    </row>
    <row r="76" spans="1:17" x14ac:dyDescent="0.45">
      <c r="A76" s="10">
        <v>46055</v>
      </c>
      <c r="B76" s="1" t="s">
        <v>147</v>
      </c>
      <c r="C76" s="1" t="s">
        <v>67</v>
      </c>
      <c r="D76" s="1" t="s">
        <v>21</v>
      </c>
      <c r="E76" s="1" t="s">
        <v>50</v>
      </c>
      <c r="F76" s="1" t="s">
        <v>56</v>
      </c>
      <c r="G76" s="1" t="s">
        <v>14</v>
      </c>
      <c r="H76" s="1" t="s">
        <v>18</v>
      </c>
      <c r="I76" s="1">
        <v>58</v>
      </c>
      <c r="J76" s="1">
        <v>250</v>
      </c>
      <c r="K76" s="1">
        <v>0.04</v>
      </c>
      <c r="L76" s="1">
        <v>14500</v>
      </c>
      <c r="M76" s="1">
        <v>13920</v>
      </c>
      <c r="N76" s="1">
        <v>15149.24</v>
      </c>
      <c r="O76" s="1">
        <v>0.92</v>
      </c>
      <c r="P76" s="2" t="s">
        <v>52</v>
      </c>
      <c r="Q76" s="13" t="s">
        <v>22</v>
      </c>
    </row>
    <row r="77" spans="1:17" x14ac:dyDescent="0.45">
      <c r="A77" s="10">
        <v>46082</v>
      </c>
      <c r="B77" s="1" t="s">
        <v>148</v>
      </c>
      <c r="C77" s="1" t="s">
        <v>54</v>
      </c>
      <c r="D77" s="1" t="s">
        <v>15</v>
      </c>
      <c r="E77" s="1" t="s">
        <v>62</v>
      </c>
      <c r="F77" s="1" t="s">
        <v>95</v>
      </c>
      <c r="G77" s="1" t="s">
        <v>20</v>
      </c>
      <c r="H77" s="1" t="s">
        <v>33</v>
      </c>
      <c r="I77" s="1">
        <v>36</v>
      </c>
      <c r="J77" s="1">
        <v>35</v>
      </c>
      <c r="K77" s="1">
        <v>0.13</v>
      </c>
      <c r="L77" s="1">
        <v>1260</v>
      </c>
      <c r="M77" s="1">
        <v>1096.2</v>
      </c>
      <c r="N77" s="1">
        <v>1018.23</v>
      </c>
      <c r="O77" s="1">
        <v>1.08</v>
      </c>
      <c r="P77" s="2" t="s">
        <v>52</v>
      </c>
      <c r="Q77" s="14" t="s">
        <v>26</v>
      </c>
    </row>
    <row r="78" spans="1:17" x14ac:dyDescent="0.45">
      <c r="A78" s="10">
        <v>46062</v>
      </c>
      <c r="B78" s="1" t="s">
        <v>149</v>
      </c>
      <c r="C78" s="1" t="s">
        <v>58</v>
      </c>
      <c r="D78" s="1" t="s">
        <v>28</v>
      </c>
      <c r="E78" s="1" t="s">
        <v>70</v>
      </c>
      <c r="F78" s="1" t="s">
        <v>51</v>
      </c>
      <c r="G78" s="1" t="s">
        <v>24</v>
      </c>
      <c r="H78" s="1" t="s">
        <v>35</v>
      </c>
      <c r="I78" s="1">
        <v>185</v>
      </c>
      <c r="J78" s="1">
        <v>30</v>
      </c>
      <c r="K78" s="1">
        <v>0.1</v>
      </c>
      <c r="L78" s="1">
        <v>5550</v>
      </c>
      <c r="M78" s="1">
        <v>4995</v>
      </c>
      <c r="N78" s="1">
        <v>4274.5600000000004</v>
      </c>
      <c r="O78" s="1">
        <v>1.17</v>
      </c>
      <c r="P78" s="2" t="s">
        <v>73</v>
      </c>
      <c r="Q78" s="13" t="s">
        <v>22</v>
      </c>
    </row>
    <row r="79" spans="1:17" x14ac:dyDescent="0.45">
      <c r="A79" s="10">
        <v>46049</v>
      </c>
      <c r="B79" s="1" t="s">
        <v>150</v>
      </c>
      <c r="C79" s="1" t="s">
        <v>75</v>
      </c>
      <c r="D79" s="1" t="s">
        <v>21</v>
      </c>
      <c r="E79" s="1" t="s">
        <v>80</v>
      </c>
      <c r="F79" s="1" t="s">
        <v>56</v>
      </c>
      <c r="G79" s="1" t="s">
        <v>20</v>
      </c>
      <c r="H79" s="1" t="s">
        <v>33</v>
      </c>
      <c r="I79" s="1">
        <v>184</v>
      </c>
      <c r="J79" s="1">
        <v>35</v>
      </c>
      <c r="K79" s="1">
        <v>0.11</v>
      </c>
      <c r="L79" s="1">
        <v>6440</v>
      </c>
      <c r="M79" s="1">
        <v>5731.6</v>
      </c>
      <c r="N79" s="1">
        <v>6268.99</v>
      </c>
      <c r="O79" s="1">
        <v>0.91</v>
      </c>
      <c r="P79" s="2" t="s">
        <v>52</v>
      </c>
      <c r="Q79" s="14" t="s">
        <v>16</v>
      </c>
    </row>
    <row r="80" spans="1:17" x14ac:dyDescent="0.45">
      <c r="A80" s="10">
        <v>46167</v>
      </c>
      <c r="B80" s="1" t="s">
        <v>151</v>
      </c>
      <c r="C80" s="1" t="s">
        <v>75</v>
      </c>
      <c r="D80" s="1" t="s">
        <v>28</v>
      </c>
      <c r="E80" s="1" t="s">
        <v>65</v>
      </c>
      <c r="F80" s="1" t="s">
        <v>51</v>
      </c>
      <c r="G80" s="1" t="s">
        <v>24</v>
      </c>
      <c r="H80" s="1" t="s">
        <v>35</v>
      </c>
      <c r="I80" s="1">
        <v>160</v>
      </c>
      <c r="J80" s="1">
        <v>30</v>
      </c>
      <c r="K80" s="1">
        <v>7.0000000000000007E-2</v>
      </c>
      <c r="L80" s="1">
        <v>4800</v>
      </c>
      <c r="M80" s="1">
        <v>4464</v>
      </c>
      <c r="N80" s="1">
        <v>3873.71</v>
      </c>
      <c r="O80" s="1">
        <v>1.1499999999999999</v>
      </c>
      <c r="P80" s="2" t="s">
        <v>73</v>
      </c>
      <c r="Q80" s="13" t="s">
        <v>32</v>
      </c>
    </row>
    <row r="81" spans="1:17" x14ac:dyDescent="0.45">
      <c r="A81" s="10">
        <v>46191</v>
      </c>
      <c r="B81" s="1" t="s">
        <v>152</v>
      </c>
      <c r="C81" s="1" t="s">
        <v>49</v>
      </c>
      <c r="D81" s="1" t="s">
        <v>28</v>
      </c>
      <c r="E81" s="1" t="s">
        <v>65</v>
      </c>
      <c r="F81" s="1" t="s">
        <v>51</v>
      </c>
      <c r="G81" s="1" t="s">
        <v>24</v>
      </c>
      <c r="H81" s="1" t="s">
        <v>35</v>
      </c>
      <c r="I81" s="1">
        <v>130</v>
      </c>
      <c r="J81" s="1">
        <v>30</v>
      </c>
      <c r="K81" s="1">
        <v>0.14000000000000001</v>
      </c>
      <c r="L81" s="1">
        <v>3900</v>
      </c>
      <c r="M81" s="1">
        <v>3354</v>
      </c>
      <c r="N81" s="1">
        <v>3164.88</v>
      </c>
      <c r="O81" s="1">
        <v>1.06</v>
      </c>
      <c r="P81" s="2" t="s">
        <v>73</v>
      </c>
      <c r="Q81" s="14" t="s">
        <v>34</v>
      </c>
    </row>
    <row r="82" spans="1:17" x14ac:dyDescent="0.45">
      <c r="A82" s="10">
        <v>46193</v>
      </c>
      <c r="B82" s="1" t="s">
        <v>153</v>
      </c>
      <c r="C82" s="1" t="s">
        <v>75</v>
      </c>
      <c r="D82" s="1" t="s">
        <v>21</v>
      </c>
      <c r="E82" s="1" t="s">
        <v>80</v>
      </c>
      <c r="F82" s="1" t="s">
        <v>56</v>
      </c>
      <c r="G82" s="1" t="s">
        <v>20</v>
      </c>
      <c r="H82" s="1" t="s">
        <v>23</v>
      </c>
      <c r="I82" s="1">
        <v>125</v>
      </c>
      <c r="J82" s="1">
        <v>180</v>
      </c>
      <c r="K82" s="1">
        <v>0.09</v>
      </c>
      <c r="L82" s="1">
        <v>22500</v>
      </c>
      <c r="M82" s="1">
        <v>20475</v>
      </c>
      <c r="N82" s="1">
        <v>19298.77</v>
      </c>
      <c r="O82" s="1">
        <v>1.06</v>
      </c>
      <c r="P82" s="2" t="s">
        <v>52</v>
      </c>
      <c r="Q82" s="13" t="s">
        <v>34</v>
      </c>
    </row>
    <row r="83" spans="1:17" x14ac:dyDescent="0.45">
      <c r="A83" s="10">
        <v>46193</v>
      </c>
      <c r="B83" s="1" t="s">
        <v>154</v>
      </c>
      <c r="C83" s="1" t="s">
        <v>54</v>
      </c>
      <c r="D83" s="1" t="s">
        <v>15</v>
      </c>
      <c r="E83" s="1" t="s">
        <v>62</v>
      </c>
      <c r="F83" s="1" t="s">
        <v>95</v>
      </c>
      <c r="G83" s="1" t="s">
        <v>24</v>
      </c>
      <c r="H83" s="1" t="s">
        <v>35</v>
      </c>
      <c r="I83" s="1">
        <v>132</v>
      </c>
      <c r="J83" s="1">
        <v>30</v>
      </c>
      <c r="K83" s="1">
        <v>0.12</v>
      </c>
      <c r="L83" s="1">
        <v>3960</v>
      </c>
      <c r="M83" s="1">
        <v>3484.8</v>
      </c>
      <c r="N83" s="1">
        <v>2861.26</v>
      </c>
      <c r="O83" s="1">
        <v>1.22</v>
      </c>
      <c r="P83" s="2" t="s">
        <v>52</v>
      </c>
      <c r="Q83" s="14" t="s">
        <v>34</v>
      </c>
    </row>
    <row r="84" spans="1:17" x14ac:dyDescent="0.45">
      <c r="A84" s="10">
        <v>46149</v>
      </c>
      <c r="B84" s="1" t="s">
        <v>155</v>
      </c>
      <c r="C84" s="1" t="s">
        <v>49</v>
      </c>
      <c r="D84" s="1" t="s">
        <v>21</v>
      </c>
      <c r="E84" s="1" t="s">
        <v>50</v>
      </c>
      <c r="F84" s="1" t="s">
        <v>56</v>
      </c>
      <c r="G84" s="1" t="s">
        <v>14</v>
      </c>
      <c r="H84" s="1" t="s">
        <v>27</v>
      </c>
      <c r="I84" s="1">
        <v>48</v>
      </c>
      <c r="J84" s="1">
        <v>120</v>
      </c>
      <c r="K84" s="1">
        <v>0.02</v>
      </c>
      <c r="L84" s="1">
        <v>5760</v>
      </c>
      <c r="M84" s="1">
        <v>5644.8</v>
      </c>
      <c r="N84" s="1">
        <v>5058.92</v>
      </c>
      <c r="O84" s="1">
        <v>1.1200000000000001</v>
      </c>
      <c r="P84" s="2" t="s">
        <v>52</v>
      </c>
      <c r="Q84" s="13" t="s">
        <v>32</v>
      </c>
    </row>
    <row r="85" spans="1:17" x14ac:dyDescent="0.45">
      <c r="A85" s="10">
        <v>46139</v>
      </c>
      <c r="B85" s="1" t="s">
        <v>156</v>
      </c>
      <c r="C85" s="1" t="s">
        <v>58</v>
      </c>
      <c r="D85" s="1" t="s">
        <v>21</v>
      </c>
      <c r="E85" s="1" t="s">
        <v>50</v>
      </c>
      <c r="F85" s="1" t="s">
        <v>56</v>
      </c>
      <c r="G85" s="1" t="s">
        <v>20</v>
      </c>
      <c r="H85" s="1" t="s">
        <v>33</v>
      </c>
      <c r="I85" s="1">
        <v>70</v>
      </c>
      <c r="J85" s="1">
        <v>35</v>
      </c>
      <c r="K85" s="1">
        <v>0.01</v>
      </c>
      <c r="L85" s="1">
        <v>2450</v>
      </c>
      <c r="M85" s="1">
        <v>2425.5</v>
      </c>
      <c r="N85" s="1">
        <v>2091.73</v>
      </c>
      <c r="O85" s="1">
        <v>1.1599999999999999</v>
      </c>
      <c r="P85" s="2" t="s">
        <v>52</v>
      </c>
      <c r="Q85" s="14" t="s">
        <v>29</v>
      </c>
    </row>
    <row r="86" spans="1:17" x14ac:dyDescent="0.45">
      <c r="A86" s="10">
        <v>46131</v>
      </c>
      <c r="B86" s="1" t="s">
        <v>157</v>
      </c>
      <c r="C86" s="1" t="s">
        <v>54</v>
      </c>
      <c r="D86" s="1" t="s">
        <v>21</v>
      </c>
      <c r="E86" s="1" t="s">
        <v>80</v>
      </c>
      <c r="F86" s="1" t="s">
        <v>56</v>
      </c>
      <c r="G86" s="1" t="s">
        <v>14</v>
      </c>
      <c r="H86" s="1" t="s">
        <v>18</v>
      </c>
      <c r="I86" s="1">
        <v>182</v>
      </c>
      <c r="J86" s="1">
        <v>250</v>
      </c>
      <c r="K86" s="1">
        <v>0.09</v>
      </c>
      <c r="L86" s="1">
        <v>45500</v>
      </c>
      <c r="M86" s="1">
        <v>41405</v>
      </c>
      <c r="N86" s="1">
        <v>48020.09</v>
      </c>
      <c r="O86" s="1">
        <v>0.86</v>
      </c>
      <c r="P86" s="2" t="s">
        <v>52</v>
      </c>
      <c r="Q86" s="13" t="s">
        <v>29</v>
      </c>
    </row>
    <row r="87" spans="1:17" x14ac:dyDescent="0.45">
      <c r="A87" s="10">
        <v>46092</v>
      </c>
      <c r="B87" s="1" t="s">
        <v>158</v>
      </c>
      <c r="C87" s="1" t="s">
        <v>58</v>
      </c>
      <c r="D87" s="1" t="s">
        <v>21</v>
      </c>
      <c r="E87" s="1" t="s">
        <v>50</v>
      </c>
      <c r="F87" s="1" t="s">
        <v>78</v>
      </c>
      <c r="G87" s="1" t="s">
        <v>20</v>
      </c>
      <c r="H87" s="1" t="s">
        <v>33</v>
      </c>
      <c r="I87" s="1">
        <v>179</v>
      </c>
      <c r="J87" s="1">
        <v>35</v>
      </c>
      <c r="K87" s="1">
        <v>0.06</v>
      </c>
      <c r="L87" s="1">
        <v>6265</v>
      </c>
      <c r="M87" s="1">
        <v>5889.1</v>
      </c>
      <c r="N87" s="1">
        <v>6481.19</v>
      </c>
      <c r="O87" s="1">
        <v>0.91</v>
      </c>
      <c r="P87" s="2" t="s">
        <v>52</v>
      </c>
      <c r="Q87" s="14" t="s">
        <v>26</v>
      </c>
    </row>
    <row r="88" spans="1:17" x14ac:dyDescent="0.45">
      <c r="A88" s="10">
        <v>46057</v>
      </c>
      <c r="B88" s="1" t="s">
        <v>159</v>
      </c>
      <c r="C88" s="1" t="s">
        <v>49</v>
      </c>
      <c r="D88" s="1" t="s">
        <v>25</v>
      </c>
      <c r="E88" s="1" t="s">
        <v>98</v>
      </c>
      <c r="F88" s="1" t="s">
        <v>71</v>
      </c>
      <c r="G88" s="1" t="s">
        <v>24</v>
      </c>
      <c r="H88" s="1" t="s">
        <v>35</v>
      </c>
      <c r="I88" s="1">
        <v>158</v>
      </c>
      <c r="J88" s="1">
        <v>30</v>
      </c>
      <c r="K88" s="1">
        <v>0.04</v>
      </c>
      <c r="L88" s="1">
        <v>4740</v>
      </c>
      <c r="M88" s="1">
        <v>4550.3999999999996</v>
      </c>
      <c r="N88" s="1">
        <v>4731.59</v>
      </c>
      <c r="O88" s="1">
        <v>0.96</v>
      </c>
      <c r="P88" s="2" t="s">
        <v>73</v>
      </c>
      <c r="Q88" s="13" t="s">
        <v>22</v>
      </c>
    </row>
    <row r="89" spans="1:17" x14ac:dyDescent="0.45">
      <c r="A89" s="10">
        <v>46136</v>
      </c>
      <c r="B89" s="1" t="s">
        <v>160</v>
      </c>
      <c r="C89" s="1" t="s">
        <v>67</v>
      </c>
      <c r="D89" s="1" t="s">
        <v>25</v>
      </c>
      <c r="E89" s="1" t="s">
        <v>98</v>
      </c>
      <c r="F89" s="1" t="s">
        <v>78</v>
      </c>
      <c r="G89" s="1" t="s">
        <v>14</v>
      </c>
      <c r="H89" s="1" t="s">
        <v>27</v>
      </c>
      <c r="I89" s="1">
        <v>98</v>
      </c>
      <c r="J89" s="1">
        <v>120</v>
      </c>
      <c r="K89" s="1">
        <v>0.05</v>
      </c>
      <c r="L89" s="1">
        <v>11760</v>
      </c>
      <c r="M89" s="1">
        <v>11172</v>
      </c>
      <c r="N89" s="1">
        <v>11229.6</v>
      </c>
      <c r="O89" s="1">
        <v>0.99</v>
      </c>
      <c r="P89" s="2" t="s">
        <v>52</v>
      </c>
      <c r="Q89" s="14" t="s">
        <v>29</v>
      </c>
    </row>
    <row r="90" spans="1:17" x14ac:dyDescent="0.45">
      <c r="A90" s="10">
        <v>46090</v>
      </c>
      <c r="B90" s="1" t="s">
        <v>161</v>
      </c>
      <c r="C90" s="1" t="s">
        <v>49</v>
      </c>
      <c r="D90" s="1" t="s">
        <v>15</v>
      </c>
      <c r="E90" s="1" t="s">
        <v>62</v>
      </c>
      <c r="F90" s="1" t="s">
        <v>78</v>
      </c>
      <c r="G90" s="1" t="s">
        <v>20</v>
      </c>
      <c r="H90" s="1" t="s">
        <v>23</v>
      </c>
      <c r="I90" s="1">
        <v>147</v>
      </c>
      <c r="J90" s="1">
        <v>180</v>
      </c>
      <c r="K90" s="1">
        <v>0.08</v>
      </c>
      <c r="L90" s="1">
        <v>26460</v>
      </c>
      <c r="M90" s="1">
        <v>24343.200000000001</v>
      </c>
      <c r="N90" s="1">
        <v>24985.42</v>
      </c>
      <c r="O90" s="1">
        <v>0.97</v>
      </c>
      <c r="P90" s="2" t="s">
        <v>73</v>
      </c>
      <c r="Q90" s="13" t="s">
        <v>26</v>
      </c>
    </row>
    <row r="91" spans="1:17" x14ac:dyDescent="0.45">
      <c r="A91" s="10">
        <v>46168</v>
      </c>
      <c r="B91" s="1" t="s">
        <v>162</v>
      </c>
      <c r="C91" s="1" t="s">
        <v>54</v>
      </c>
      <c r="D91" s="1" t="s">
        <v>25</v>
      </c>
      <c r="E91" s="1" t="s">
        <v>98</v>
      </c>
      <c r="F91" s="1" t="s">
        <v>51</v>
      </c>
      <c r="G91" s="1" t="s">
        <v>14</v>
      </c>
      <c r="H91" s="1" t="s">
        <v>18</v>
      </c>
      <c r="I91" s="1">
        <v>100</v>
      </c>
      <c r="J91" s="1">
        <v>250</v>
      </c>
      <c r="K91" s="1">
        <v>0.1</v>
      </c>
      <c r="L91" s="1">
        <v>25000</v>
      </c>
      <c r="M91" s="1">
        <v>22500</v>
      </c>
      <c r="N91" s="1">
        <v>22185.64</v>
      </c>
      <c r="O91" s="1">
        <v>1.01</v>
      </c>
      <c r="P91" s="2" t="s">
        <v>73</v>
      </c>
      <c r="Q91" s="14" t="s">
        <v>32</v>
      </c>
    </row>
    <row r="92" spans="1:17" x14ac:dyDescent="0.45">
      <c r="A92" s="10">
        <v>46126</v>
      </c>
      <c r="B92" s="1" t="s">
        <v>163</v>
      </c>
      <c r="C92" s="1" t="s">
        <v>67</v>
      </c>
      <c r="D92" s="1" t="s">
        <v>15</v>
      </c>
      <c r="E92" s="1" t="s">
        <v>55</v>
      </c>
      <c r="F92" s="1" t="s">
        <v>78</v>
      </c>
      <c r="G92" s="1" t="s">
        <v>24</v>
      </c>
      <c r="H92" s="1" t="s">
        <v>35</v>
      </c>
      <c r="I92" s="1">
        <v>44</v>
      </c>
      <c r="J92" s="1">
        <v>30</v>
      </c>
      <c r="K92" s="1">
        <v>0.14000000000000001</v>
      </c>
      <c r="L92" s="1">
        <v>1320</v>
      </c>
      <c r="M92" s="1">
        <v>1135.2</v>
      </c>
      <c r="N92" s="1">
        <v>1017.92</v>
      </c>
      <c r="O92" s="1">
        <v>1.1200000000000001</v>
      </c>
      <c r="P92" s="2" t="s">
        <v>73</v>
      </c>
      <c r="Q92" s="13" t="s">
        <v>29</v>
      </c>
    </row>
    <row r="93" spans="1:17" x14ac:dyDescent="0.45">
      <c r="A93" s="10">
        <v>46072</v>
      </c>
      <c r="B93" s="1" t="s">
        <v>164</v>
      </c>
      <c r="C93" s="1" t="s">
        <v>67</v>
      </c>
      <c r="D93" s="1" t="s">
        <v>25</v>
      </c>
      <c r="E93" s="1" t="s">
        <v>68</v>
      </c>
      <c r="F93" s="1" t="s">
        <v>56</v>
      </c>
      <c r="G93" s="1" t="s">
        <v>14</v>
      </c>
      <c r="H93" s="1" t="s">
        <v>18</v>
      </c>
      <c r="I93" s="1">
        <v>8</v>
      </c>
      <c r="J93" s="1">
        <v>250</v>
      </c>
      <c r="K93" s="1">
        <v>0.03</v>
      </c>
      <c r="L93" s="1">
        <v>2000</v>
      </c>
      <c r="M93" s="1">
        <v>1940</v>
      </c>
      <c r="N93" s="1">
        <v>2105.9299999999998</v>
      </c>
      <c r="O93" s="1">
        <v>0.92</v>
      </c>
      <c r="P93" s="2" t="s">
        <v>73</v>
      </c>
      <c r="Q93" s="14" t="s">
        <v>22</v>
      </c>
    </row>
    <row r="94" spans="1:17" x14ac:dyDescent="0.45">
      <c r="A94" s="10">
        <v>46049</v>
      </c>
      <c r="B94" s="1" t="s">
        <v>165</v>
      </c>
      <c r="C94" s="1" t="s">
        <v>75</v>
      </c>
      <c r="D94" s="1" t="s">
        <v>28</v>
      </c>
      <c r="E94" s="1" t="s">
        <v>65</v>
      </c>
      <c r="F94" s="1" t="s">
        <v>78</v>
      </c>
      <c r="G94" s="1" t="s">
        <v>14</v>
      </c>
      <c r="H94" s="1" t="s">
        <v>18</v>
      </c>
      <c r="I94" s="1">
        <v>143</v>
      </c>
      <c r="J94" s="1">
        <v>250</v>
      </c>
      <c r="K94" s="1">
        <v>0.01</v>
      </c>
      <c r="L94" s="1">
        <v>35750</v>
      </c>
      <c r="M94" s="1">
        <v>35392.5</v>
      </c>
      <c r="N94" s="1">
        <v>35618.35</v>
      </c>
      <c r="O94" s="1">
        <v>0.99</v>
      </c>
      <c r="P94" s="2" t="s">
        <v>73</v>
      </c>
      <c r="Q94" s="13" t="s">
        <v>16</v>
      </c>
    </row>
    <row r="95" spans="1:17" x14ac:dyDescent="0.45">
      <c r="A95" s="10">
        <v>46073</v>
      </c>
      <c r="B95" s="1" t="s">
        <v>166</v>
      </c>
      <c r="C95" s="1" t="s">
        <v>64</v>
      </c>
      <c r="D95" s="1" t="s">
        <v>28</v>
      </c>
      <c r="E95" s="1" t="s">
        <v>65</v>
      </c>
      <c r="F95" s="1" t="s">
        <v>78</v>
      </c>
      <c r="G95" s="1" t="s">
        <v>14</v>
      </c>
      <c r="H95" s="1" t="s">
        <v>18</v>
      </c>
      <c r="I95" s="1">
        <v>184</v>
      </c>
      <c r="J95" s="1">
        <v>250</v>
      </c>
      <c r="K95" s="1">
        <v>0.08</v>
      </c>
      <c r="L95" s="1">
        <v>46000</v>
      </c>
      <c r="M95" s="1">
        <v>42320</v>
      </c>
      <c r="N95" s="1">
        <v>36612.28</v>
      </c>
      <c r="O95" s="1">
        <v>1.1599999999999999</v>
      </c>
      <c r="P95" s="2" t="s">
        <v>73</v>
      </c>
      <c r="Q95" s="14" t="s">
        <v>22</v>
      </c>
    </row>
    <row r="96" spans="1:17" x14ac:dyDescent="0.45">
      <c r="A96" s="10">
        <v>46190</v>
      </c>
      <c r="B96" s="1" t="s">
        <v>167</v>
      </c>
      <c r="C96" s="1" t="s">
        <v>75</v>
      </c>
      <c r="D96" s="1" t="s">
        <v>21</v>
      </c>
      <c r="E96" s="1" t="s">
        <v>80</v>
      </c>
      <c r="F96" s="1" t="s">
        <v>56</v>
      </c>
      <c r="G96" s="1" t="s">
        <v>24</v>
      </c>
      <c r="H96" s="1" t="s">
        <v>35</v>
      </c>
      <c r="I96" s="1">
        <v>75</v>
      </c>
      <c r="J96" s="1">
        <v>30</v>
      </c>
      <c r="K96" s="1">
        <v>0</v>
      </c>
      <c r="L96" s="1">
        <v>2250</v>
      </c>
      <c r="M96" s="1">
        <v>2250</v>
      </c>
      <c r="N96" s="1">
        <v>2004.56</v>
      </c>
      <c r="O96" s="1">
        <v>1.1200000000000001</v>
      </c>
      <c r="P96" s="2" t="s">
        <v>52</v>
      </c>
      <c r="Q96" s="13" t="s">
        <v>34</v>
      </c>
    </row>
    <row r="97" spans="1:17" x14ac:dyDescent="0.45">
      <c r="A97" s="10">
        <v>46109</v>
      </c>
      <c r="B97" s="1" t="s">
        <v>168</v>
      </c>
      <c r="C97" s="1" t="s">
        <v>64</v>
      </c>
      <c r="D97" s="1" t="s">
        <v>28</v>
      </c>
      <c r="E97" s="1" t="s">
        <v>59</v>
      </c>
      <c r="F97" s="1" t="s">
        <v>71</v>
      </c>
      <c r="G97" s="1" t="s">
        <v>20</v>
      </c>
      <c r="H97" s="1" t="s">
        <v>23</v>
      </c>
      <c r="I97" s="1">
        <v>174</v>
      </c>
      <c r="J97" s="1">
        <v>180</v>
      </c>
      <c r="K97" s="1">
        <v>0.13</v>
      </c>
      <c r="L97" s="1">
        <v>31320</v>
      </c>
      <c r="M97" s="1">
        <v>27248.400000000001</v>
      </c>
      <c r="N97" s="1">
        <v>32350.39</v>
      </c>
      <c r="O97" s="1">
        <v>0.84</v>
      </c>
      <c r="P97" s="2" t="s">
        <v>73</v>
      </c>
      <c r="Q97" s="14" t="s">
        <v>26</v>
      </c>
    </row>
    <row r="98" spans="1:17" x14ac:dyDescent="0.45">
      <c r="A98" s="10">
        <v>46148</v>
      </c>
      <c r="B98" s="1" t="s">
        <v>169</v>
      </c>
      <c r="C98" s="1" t="s">
        <v>67</v>
      </c>
      <c r="D98" s="1" t="s">
        <v>15</v>
      </c>
      <c r="E98" s="1" t="s">
        <v>55</v>
      </c>
      <c r="F98" s="1" t="s">
        <v>95</v>
      </c>
      <c r="G98" s="1" t="s">
        <v>20</v>
      </c>
      <c r="H98" s="1" t="s">
        <v>33</v>
      </c>
      <c r="I98" s="1">
        <v>119</v>
      </c>
      <c r="J98" s="1">
        <v>35</v>
      </c>
      <c r="K98" s="1">
        <v>0.13</v>
      </c>
      <c r="L98" s="1">
        <v>4165</v>
      </c>
      <c r="M98" s="1">
        <v>3623.55</v>
      </c>
      <c r="N98" s="1">
        <v>2935.44</v>
      </c>
      <c r="O98" s="1">
        <v>1.23</v>
      </c>
      <c r="P98" s="2" t="s">
        <v>52</v>
      </c>
      <c r="Q98" s="13" t="s">
        <v>32</v>
      </c>
    </row>
    <row r="99" spans="1:17" x14ac:dyDescent="0.45">
      <c r="A99" s="10">
        <v>46047</v>
      </c>
      <c r="B99" s="1" t="s">
        <v>170</v>
      </c>
      <c r="C99" s="1" t="s">
        <v>58</v>
      </c>
      <c r="D99" s="1" t="s">
        <v>28</v>
      </c>
      <c r="E99" s="1" t="s">
        <v>59</v>
      </c>
      <c r="F99" s="1" t="s">
        <v>78</v>
      </c>
      <c r="G99" s="1" t="s">
        <v>20</v>
      </c>
      <c r="H99" s="1" t="s">
        <v>23</v>
      </c>
      <c r="I99" s="1">
        <v>62</v>
      </c>
      <c r="J99" s="1">
        <v>180</v>
      </c>
      <c r="K99" s="1">
        <v>0.1</v>
      </c>
      <c r="L99" s="1">
        <v>11160</v>
      </c>
      <c r="M99" s="1">
        <v>10044</v>
      </c>
      <c r="N99" s="1">
        <v>8650.2900000000009</v>
      </c>
      <c r="O99" s="1">
        <v>1.1599999999999999</v>
      </c>
      <c r="P99" s="2" t="s">
        <v>73</v>
      </c>
      <c r="Q99" s="14" t="s">
        <v>16</v>
      </c>
    </row>
    <row r="100" spans="1:17" x14ac:dyDescent="0.45">
      <c r="A100" s="10">
        <v>46042</v>
      </c>
      <c r="B100" s="1" t="s">
        <v>171</v>
      </c>
      <c r="C100" s="1" t="s">
        <v>64</v>
      </c>
      <c r="D100" s="1" t="s">
        <v>21</v>
      </c>
      <c r="E100" s="1" t="s">
        <v>80</v>
      </c>
      <c r="F100" s="1" t="s">
        <v>51</v>
      </c>
      <c r="G100" s="1" t="s">
        <v>24</v>
      </c>
      <c r="H100" s="1" t="s">
        <v>30</v>
      </c>
      <c r="I100" s="1">
        <v>44</v>
      </c>
      <c r="J100" s="1">
        <v>40</v>
      </c>
      <c r="K100" s="1">
        <v>0.1</v>
      </c>
      <c r="L100" s="1">
        <v>1760</v>
      </c>
      <c r="M100" s="1">
        <v>1584</v>
      </c>
      <c r="N100" s="1">
        <v>1298.94</v>
      </c>
      <c r="O100" s="1">
        <v>1.22</v>
      </c>
      <c r="P100" s="2" t="s">
        <v>73</v>
      </c>
      <c r="Q100" s="13" t="s">
        <v>16</v>
      </c>
    </row>
    <row r="101" spans="1:17" x14ac:dyDescent="0.45">
      <c r="A101" s="10">
        <v>46170</v>
      </c>
      <c r="B101" s="1" t="s">
        <v>172</v>
      </c>
      <c r="C101" s="1" t="s">
        <v>49</v>
      </c>
      <c r="D101" s="1" t="s">
        <v>28</v>
      </c>
      <c r="E101" s="1" t="s">
        <v>65</v>
      </c>
      <c r="F101" s="1" t="s">
        <v>95</v>
      </c>
      <c r="G101" s="1" t="s">
        <v>20</v>
      </c>
      <c r="H101" s="1" t="s">
        <v>33</v>
      </c>
      <c r="I101" s="1">
        <v>16</v>
      </c>
      <c r="J101" s="1">
        <v>35</v>
      </c>
      <c r="K101" s="1">
        <v>0.08</v>
      </c>
      <c r="L101" s="1">
        <v>560</v>
      </c>
      <c r="M101" s="1">
        <v>515.20000000000005</v>
      </c>
      <c r="N101" s="1">
        <v>544.46</v>
      </c>
      <c r="O101" s="1">
        <v>0.95</v>
      </c>
      <c r="P101" s="2" t="s">
        <v>73</v>
      </c>
      <c r="Q101" s="14" t="s">
        <v>32</v>
      </c>
    </row>
    <row r="102" spans="1:17" x14ac:dyDescent="0.45">
      <c r="A102" s="10">
        <v>46101</v>
      </c>
      <c r="B102" s="1" t="s">
        <v>173</v>
      </c>
      <c r="C102" s="1" t="s">
        <v>67</v>
      </c>
      <c r="D102" s="1" t="s">
        <v>25</v>
      </c>
      <c r="E102" s="1" t="s">
        <v>104</v>
      </c>
      <c r="F102" s="1" t="s">
        <v>78</v>
      </c>
      <c r="G102" s="1" t="s">
        <v>20</v>
      </c>
      <c r="H102" s="1" t="s">
        <v>23</v>
      </c>
      <c r="I102" s="1">
        <v>63</v>
      </c>
      <c r="J102" s="1">
        <v>180</v>
      </c>
      <c r="K102" s="1">
        <v>0.06</v>
      </c>
      <c r="L102" s="1">
        <v>11340</v>
      </c>
      <c r="M102" s="1">
        <v>10659.6</v>
      </c>
      <c r="N102" s="1">
        <v>9251.9699999999993</v>
      </c>
      <c r="O102" s="1">
        <v>1.1499999999999999</v>
      </c>
      <c r="P102" s="2" t="s">
        <v>52</v>
      </c>
      <c r="Q102" s="13" t="s">
        <v>26</v>
      </c>
    </row>
    <row r="103" spans="1:17" x14ac:dyDescent="0.45">
      <c r="A103" s="10">
        <v>46080</v>
      </c>
      <c r="B103" s="1" t="s">
        <v>174</v>
      </c>
      <c r="C103" s="1" t="s">
        <v>67</v>
      </c>
      <c r="D103" s="1" t="s">
        <v>28</v>
      </c>
      <c r="E103" s="1" t="s">
        <v>70</v>
      </c>
      <c r="F103" s="1" t="s">
        <v>56</v>
      </c>
      <c r="G103" s="1" t="s">
        <v>14</v>
      </c>
      <c r="H103" s="1" t="s">
        <v>27</v>
      </c>
      <c r="I103" s="1">
        <v>113</v>
      </c>
      <c r="J103" s="1">
        <v>120</v>
      </c>
      <c r="K103" s="1">
        <v>0.15</v>
      </c>
      <c r="L103" s="1">
        <v>13560</v>
      </c>
      <c r="M103" s="1">
        <v>11526</v>
      </c>
      <c r="N103" s="1">
        <v>13805.75</v>
      </c>
      <c r="O103" s="1">
        <v>0.83</v>
      </c>
      <c r="P103" s="2" t="s">
        <v>73</v>
      </c>
      <c r="Q103" s="14" t="s">
        <v>22</v>
      </c>
    </row>
    <row r="104" spans="1:17" x14ac:dyDescent="0.45">
      <c r="A104" s="10">
        <v>46064</v>
      </c>
      <c r="B104" s="1" t="s">
        <v>175</v>
      </c>
      <c r="C104" s="1" t="s">
        <v>54</v>
      </c>
      <c r="D104" s="1" t="s">
        <v>15</v>
      </c>
      <c r="E104" s="1" t="s">
        <v>62</v>
      </c>
      <c r="F104" s="1" t="s">
        <v>51</v>
      </c>
      <c r="G104" s="1" t="s">
        <v>24</v>
      </c>
      <c r="H104" s="1" t="s">
        <v>35</v>
      </c>
      <c r="I104" s="1">
        <v>116</v>
      </c>
      <c r="J104" s="1">
        <v>30</v>
      </c>
      <c r="K104" s="1">
        <v>0.09</v>
      </c>
      <c r="L104" s="1">
        <v>3480</v>
      </c>
      <c r="M104" s="1">
        <v>3166.8</v>
      </c>
      <c r="N104" s="1">
        <v>3480.71</v>
      </c>
      <c r="O104" s="1">
        <v>0.91</v>
      </c>
      <c r="P104" s="2" t="s">
        <v>52</v>
      </c>
      <c r="Q104" s="13" t="s">
        <v>22</v>
      </c>
    </row>
    <row r="105" spans="1:17" x14ac:dyDescent="0.45">
      <c r="A105" s="10">
        <v>46114</v>
      </c>
      <c r="B105" s="1" t="s">
        <v>176</v>
      </c>
      <c r="C105" s="1" t="s">
        <v>54</v>
      </c>
      <c r="D105" s="1" t="s">
        <v>21</v>
      </c>
      <c r="E105" s="1" t="s">
        <v>80</v>
      </c>
      <c r="F105" s="1" t="s">
        <v>95</v>
      </c>
      <c r="G105" s="1" t="s">
        <v>24</v>
      </c>
      <c r="H105" s="1" t="s">
        <v>30</v>
      </c>
      <c r="I105" s="1">
        <v>33</v>
      </c>
      <c r="J105" s="1">
        <v>40</v>
      </c>
      <c r="K105" s="1">
        <v>0.1</v>
      </c>
      <c r="L105" s="1">
        <v>1320</v>
      </c>
      <c r="M105" s="1">
        <v>1188</v>
      </c>
      <c r="N105" s="1">
        <v>1017.32</v>
      </c>
      <c r="O105" s="1">
        <v>1.17</v>
      </c>
      <c r="P105" s="2" t="s">
        <v>52</v>
      </c>
      <c r="Q105" s="14" t="s">
        <v>29</v>
      </c>
    </row>
    <row r="106" spans="1:17" x14ac:dyDescent="0.45">
      <c r="A106" s="10">
        <v>46082</v>
      </c>
      <c r="B106" s="1" t="s">
        <v>177</v>
      </c>
      <c r="C106" s="1" t="s">
        <v>64</v>
      </c>
      <c r="D106" s="1" t="s">
        <v>21</v>
      </c>
      <c r="E106" s="1" t="s">
        <v>80</v>
      </c>
      <c r="F106" s="1" t="s">
        <v>51</v>
      </c>
      <c r="G106" s="1" t="s">
        <v>20</v>
      </c>
      <c r="H106" s="1" t="s">
        <v>23</v>
      </c>
      <c r="I106" s="1">
        <v>173</v>
      </c>
      <c r="J106" s="1">
        <v>180</v>
      </c>
      <c r="K106" s="1">
        <v>0.09</v>
      </c>
      <c r="L106" s="1">
        <v>31140</v>
      </c>
      <c r="M106" s="1">
        <v>28337.4</v>
      </c>
      <c r="N106" s="1">
        <v>22794.07</v>
      </c>
      <c r="O106" s="1">
        <v>1.24</v>
      </c>
      <c r="P106" s="2" t="s">
        <v>52</v>
      </c>
      <c r="Q106" s="13" t="s">
        <v>26</v>
      </c>
    </row>
    <row r="107" spans="1:17" x14ac:dyDescent="0.45">
      <c r="A107" s="10">
        <v>46167</v>
      </c>
      <c r="B107" s="1" t="s">
        <v>178</v>
      </c>
      <c r="C107" s="1" t="s">
        <v>75</v>
      </c>
      <c r="D107" s="1" t="s">
        <v>15</v>
      </c>
      <c r="E107" s="1" t="s">
        <v>55</v>
      </c>
      <c r="F107" s="1" t="s">
        <v>71</v>
      </c>
      <c r="G107" s="1" t="s">
        <v>20</v>
      </c>
      <c r="H107" s="1" t="s">
        <v>23</v>
      </c>
      <c r="I107" s="1">
        <v>198</v>
      </c>
      <c r="J107" s="1">
        <v>180</v>
      </c>
      <c r="K107" s="1">
        <v>0.05</v>
      </c>
      <c r="L107" s="1">
        <v>35640</v>
      </c>
      <c r="M107" s="1">
        <v>33858</v>
      </c>
      <c r="N107" s="1">
        <v>34505.86</v>
      </c>
      <c r="O107" s="1">
        <v>0.98</v>
      </c>
      <c r="P107" s="2" t="s">
        <v>52</v>
      </c>
      <c r="Q107" s="14" t="s">
        <v>32</v>
      </c>
    </row>
    <row r="108" spans="1:17" x14ac:dyDescent="0.45">
      <c r="A108" s="10">
        <v>46202</v>
      </c>
      <c r="B108" s="1" t="s">
        <v>179</v>
      </c>
      <c r="C108" s="1" t="s">
        <v>75</v>
      </c>
      <c r="D108" s="1" t="s">
        <v>15</v>
      </c>
      <c r="E108" s="1" t="s">
        <v>55</v>
      </c>
      <c r="F108" s="1" t="s">
        <v>71</v>
      </c>
      <c r="G108" s="1" t="s">
        <v>20</v>
      </c>
      <c r="H108" s="1" t="s">
        <v>33</v>
      </c>
      <c r="I108" s="1">
        <v>27</v>
      </c>
      <c r="J108" s="1">
        <v>35</v>
      </c>
      <c r="K108" s="1">
        <v>0.15</v>
      </c>
      <c r="L108" s="1">
        <v>945</v>
      </c>
      <c r="M108" s="1">
        <v>803.25</v>
      </c>
      <c r="N108" s="1">
        <v>898.08</v>
      </c>
      <c r="O108" s="1">
        <v>0.89</v>
      </c>
      <c r="P108" s="2" t="s">
        <v>52</v>
      </c>
      <c r="Q108" s="13" t="s">
        <v>34</v>
      </c>
    </row>
    <row r="109" spans="1:17" x14ac:dyDescent="0.45">
      <c r="A109" s="10">
        <v>46176</v>
      </c>
      <c r="B109" s="1" t="s">
        <v>180</v>
      </c>
      <c r="C109" s="1" t="s">
        <v>67</v>
      </c>
      <c r="D109" s="1" t="s">
        <v>21</v>
      </c>
      <c r="E109" s="1" t="s">
        <v>80</v>
      </c>
      <c r="F109" s="1" t="s">
        <v>78</v>
      </c>
      <c r="G109" s="1" t="s">
        <v>20</v>
      </c>
      <c r="H109" s="1" t="s">
        <v>23</v>
      </c>
      <c r="I109" s="1">
        <v>91</v>
      </c>
      <c r="J109" s="1">
        <v>180</v>
      </c>
      <c r="K109" s="1">
        <v>0.14000000000000001</v>
      </c>
      <c r="L109" s="1">
        <v>16380</v>
      </c>
      <c r="M109" s="1">
        <v>14086.8</v>
      </c>
      <c r="N109" s="1">
        <v>16706.669999999998</v>
      </c>
      <c r="O109" s="1">
        <v>0.84</v>
      </c>
      <c r="P109" s="2" t="s">
        <v>73</v>
      </c>
      <c r="Q109" s="14" t="s">
        <v>34</v>
      </c>
    </row>
    <row r="110" spans="1:17" x14ac:dyDescent="0.45">
      <c r="A110" s="10">
        <v>46071</v>
      </c>
      <c r="B110" s="1" t="s">
        <v>181</v>
      </c>
      <c r="C110" s="1" t="s">
        <v>64</v>
      </c>
      <c r="D110" s="1" t="s">
        <v>21</v>
      </c>
      <c r="E110" s="1" t="s">
        <v>80</v>
      </c>
      <c r="F110" s="1" t="s">
        <v>78</v>
      </c>
      <c r="G110" s="1" t="s">
        <v>24</v>
      </c>
      <c r="H110" s="1" t="s">
        <v>35</v>
      </c>
      <c r="I110" s="1">
        <v>100</v>
      </c>
      <c r="J110" s="1">
        <v>30</v>
      </c>
      <c r="K110" s="1">
        <v>0.09</v>
      </c>
      <c r="L110" s="1">
        <v>3000</v>
      </c>
      <c r="M110" s="1">
        <v>2730</v>
      </c>
      <c r="N110" s="1">
        <v>2311.37</v>
      </c>
      <c r="O110" s="1">
        <v>1.18</v>
      </c>
      <c r="P110" s="2" t="s">
        <v>73</v>
      </c>
      <c r="Q110" s="13" t="s">
        <v>22</v>
      </c>
    </row>
    <row r="111" spans="1:17" x14ac:dyDescent="0.45">
      <c r="A111" s="10">
        <v>46094</v>
      </c>
      <c r="B111" s="1" t="s">
        <v>182</v>
      </c>
      <c r="C111" s="1" t="s">
        <v>54</v>
      </c>
      <c r="D111" s="1" t="s">
        <v>25</v>
      </c>
      <c r="E111" s="1" t="s">
        <v>98</v>
      </c>
      <c r="F111" s="1" t="s">
        <v>95</v>
      </c>
      <c r="G111" s="1" t="s">
        <v>24</v>
      </c>
      <c r="H111" s="1" t="s">
        <v>35</v>
      </c>
      <c r="I111" s="1">
        <v>184</v>
      </c>
      <c r="J111" s="1">
        <v>30</v>
      </c>
      <c r="K111" s="1">
        <v>0.04</v>
      </c>
      <c r="L111" s="1">
        <v>5520</v>
      </c>
      <c r="M111" s="1">
        <v>5299.2</v>
      </c>
      <c r="N111" s="1">
        <v>6271.89</v>
      </c>
      <c r="O111" s="1">
        <v>0.84</v>
      </c>
      <c r="P111" s="2" t="s">
        <v>73</v>
      </c>
      <c r="Q111" s="14" t="s">
        <v>26</v>
      </c>
    </row>
    <row r="112" spans="1:17" x14ac:dyDescent="0.45">
      <c r="A112" s="10">
        <v>46056</v>
      </c>
      <c r="B112" s="1" t="s">
        <v>183</v>
      </c>
      <c r="C112" s="1" t="s">
        <v>75</v>
      </c>
      <c r="D112" s="1" t="s">
        <v>25</v>
      </c>
      <c r="E112" s="1" t="s">
        <v>68</v>
      </c>
      <c r="F112" s="1" t="s">
        <v>95</v>
      </c>
      <c r="G112" s="1" t="s">
        <v>20</v>
      </c>
      <c r="H112" s="1" t="s">
        <v>23</v>
      </c>
      <c r="I112" s="1">
        <v>78</v>
      </c>
      <c r="J112" s="1">
        <v>180</v>
      </c>
      <c r="K112" s="1">
        <v>0.12</v>
      </c>
      <c r="L112" s="1">
        <v>14040</v>
      </c>
      <c r="M112" s="1">
        <v>12355.2</v>
      </c>
      <c r="N112" s="1">
        <v>12900.52</v>
      </c>
      <c r="O112" s="1">
        <v>0.96</v>
      </c>
      <c r="P112" s="2" t="s">
        <v>52</v>
      </c>
      <c r="Q112" s="13" t="s">
        <v>22</v>
      </c>
    </row>
    <row r="113" spans="1:17" x14ac:dyDescent="0.45">
      <c r="A113" s="10">
        <v>46176</v>
      </c>
      <c r="B113" s="1" t="s">
        <v>184</v>
      </c>
      <c r="C113" s="1" t="s">
        <v>54</v>
      </c>
      <c r="D113" s="1" t="s">
        <v>25</v>
      </c>
      <c r="E113" s="1" t="s">
        <v>68</v>
      </c>
      <c r="F113" s="1" t="s">
        <v>71</v>
      </c>
      <c r="G113" s="1" t="s">
        <v>20</v>
      </c>
      <c r="H113" s="1" t="s">
        <v>33</v>
      </c>
      <c r="I113" s="1">
        <v>62</v>
      </c>
      <c r="J113" s="1">
        <v>35</v>
      </c>
      <c r="K113" s="1">
        <v>0.14000000000000001</v>
      </c>
      <c r="L113" s="1">
        <v>2170</v>
      </c>
      <c r="M113" s="1">
        <v>1866.2</v>
      </c>
      <c r="N113" s="1">
        <v>1929.46</v>
      </c>
      <c r="O113" s="1">
        <v>0.97</v>
      </c>
      <c r="P113" s="2" t="s">
        <v>52</v>
      </c>
      <c r="Q113" s="14" t="s">
        <v>34</v>
      </c>
    </row>
    <row r="114" spans="1:17" x14ac:dyDescent="0.45">
      <c r="A114" s="10">
        <v>46192</v>
      </c>
      <c r="B114" s="1" t="s">
        <v>185</v>
      </c>
      <c r="C114" s="1" t="s">
        <v>67</v>
      </c>
      <c r="D114" s="1" t="s">
        <v>25</v>
      </c>
      <c r="E114" s="1" t="s">
        <v>68</v>
      </c>
      <c r="F114" s="1" t="s">
        <v>78</v>
      </c>
      <c r="G114" s="1" t="s">
        <v>20</v>
      </c>
      <c r="H114" s="1" t="s">
        <v>33</v>
      </c>
      <c r="I114" s="1">
        <v>127</v>
      </c>
      <c r="J114" s="1">
        <v>35</v>
      </c>
      <c r="K114" s="1">
        <v>0.09</v>
      </c>
      <c r="L114" s="1">
        <v>4445</v>
      </c>
      <c r="M114" s="1">
        <v>4044.95</v>
      </c>
      <c r="N114" s="1">
        <v>4170.83</v>
      </c>
      <c r="O114" s="1">
        <v>0.97</v>
      </c>
      <c r="P114" s="2" t="s">
        <v>52</v>
      </c>
      <c r="Q114" s="13" t="s">
        <v>34</v>
      </c>
    </row>
    <row r="115" spans="1:17" x14ac:dyDescent="0.45">
      <c r="A115" s="10">
        <v>46186</v>
      </c>
      <c r="B115" s="1" t="s">
        <v>186</v>
      </c>
      <c r="C115" s="1" t="s">
        <v>58</v>
      </c>
      <c r="D115" s="1" t="s">
        <v>21</v>
      </c>
      <c r="E115" s="1" t="s">
        <v>80</v>
      </c>
      <c r="F115" s="1" t="s">
        <v>78</v>
      </c>
      <c r="G115" s="1" t="s">
        <v>24</v>
      </c>
      <c r="H115" s="1" t="s">
        <v>30</v>
      </c>
      <c r="I115" s="1">
        <v>133</v>
      </c>
      <c r="J115" s="1">
        <v>40</v>
      </c>
      <c r="K115" s="1">
        <v>0.05</v>
      </c>
      <c r="L115" s="1">
        <v>5320</v>
      </c>
      <c r="M115" s="1">
        <v>5054</v>
      </c>
      <c r="N115" s="1">
        <v>4380.66</v>
      </c>
      <c r="O115" s="1">
        <v>1.1499999999999999</v>
      </c>
      <c r="P115" s="2" t="s">
        <v>52</v>
      </c>
      <c r="Q115" s="14" t="s">
        <v>34</v>
      </c>
    </row>
    <row r="116" spans="1:17" x14ac:dyDescent="0.45">
      <c r="A116" s="10">
        <v>46157</v>
      </c>
      <c r="B116" s="1" t="s">
        <v>187</v>
      </c>
      <c r="C116" s="1" t="s">
        <v>64</v>
      </c>
      <c r="D116" s="1" t="s">
        <v>25</v>
      </c>
      <c r="E116" s="1" t="s">
        <v>98</v>
      </c>
      <c r="F116" s="1" t="s">
        <v>60</v>
      </c>
      <c r="G116" s="1" t="s">
        <v>24</v>
      </c>
      <c r="H116" s="1" t="s">
        <v>35</v>
      </c>
      <c r="I116" s="1">
        <v>129</v>
      </c>
      <c r="J116" s="1">
        <v>30</v>
      </c>
      <c r="K116" s="1">
        <v>0.15</v>
      </c>
      <c r="L116" s="1">
        <v>3870</v>
      </c>
      <c r="M116" s="1">
        <v>3289.5</v>
      </c>
      <c r="N116" s="1">
        <v>3227.73</v>
      </c>
      <c r="O116" s="1">
        <v>1.02</v>
      </c>
      <c r="P116" s="2" t="s">
        <v>73</v>
      </c>
      <c r="Q116" s="13" t="s">
        <v>32</v>
      </c>
    </row>
    <row r="117" spans="1:17" x14ac:dyDescent="0.45">
      <c r="A117" s="10">
        <v>46099</v>
      </c>
      <c r="B117" s="1" t="s">
        <v>188</v>
      </c>
      <c r="C117" s="1" t="s">
        <v>75</v>
      </c>
      <c r="D117" s="1" t="s">
        <v>21</v>
      </c>
      <c r="E117" s="1" t="s">
        <v>50</v>
      </c>
      <c r="F117" s="1" t="s">
        <v>78</v>
      </c>
      <c r="G117" s="1" t="s">
        <v>14</v>
      </c>
      <c r="H117" s="1" t="s">
        <v>27</v>
      </c>
      <c r="I117" s="1">
        <v>124</v>
      </c>
      <c r="J117" s="1">
        <v>120</v>
      </c>
      <c r="K117" s="1">
        <v>0.04</v>
      </c>
      <c r="L117" s="1">
        <v>14880</v>
      </c>
      <c r="M117" s="1">
        <v>14284.8</v>
      </c>
      <c r="N117" s="1">
        <v>14655</v>
      </c>
      <c r="O117" s="1">
        <v>0.97</v>
      </c>
      <c r="P117" s="2" t="s">
        <v>73</v>
      </c>
      <c r="Q117" s="14" t="s">
        <v>26</v>
      </c>
    </row>
    <row r="118" spans="1:17" x14ac:dyDescent="0.45">
      <c r="A118" s="10">
        <v>46200</v>
      </c>
      <c r="B118" s="1" t="s">
        <v>189</v>
      </c>
      <c r="C118" s="1" t="s">
        <v>49</v>
      </c>
      <c r="D118" s="1" t="s">
        <v>15</v>
      </c>
      <c r="E118" s="1" t="s">
        <v>62</v>
      </c>
      <c r="F118" s="1" t="s">
        <v>51</v>
      </c>
      <c r="G118" s="1" t="s">
        <v>20</v>
      </c>
      <c r="H118" s="1" t="s">
        <v>23</v>
      </c>
      <c r="I118" s="1">
        <v>48</v>
      </c>
      <c r="J118" s="1">
        <v>180</v>
      </c>
      <c r="K118" s="1">
        <v>0.14000000000000001</v>
      </c>
      <c r="L118" s="1">
        <v>8640</v>
      </c>
      <c r="M118" s="1">
        <v>7430.4</v>
      </c>
      <c r="N118" s="1">
        <v>6422.23</v>
      </c>
      <c r="O118" s="1">
        <v>1.1599999999999999</v>
      </c>
      <c r="P118" s="2" t="s">
        <v>73</v>
      </c>
      <c r="Q118" s="13" t="s">
        <v>34</v>
      </c>
    </row>
    <row r="119" spans="1:17" x14ac:dyDescent="0.45">
      <c r="A119" s="10">
        <v>46107</v>
      </c>
      <c r="B119" s="1" t="s">
        <v>190</v>
      </c>
      <c r="C119" s="1" t="s">
        <v>58</v>
      </c>
      <c r="D119" s="1" t="s">
        <v>21</v>
      </c>
      <c r="E119" s="1" t="s">
        <v>80</v>
      </c>
      <c r="F119" s="1" t="s">
        <v>60</v>
      </c>
      <c r="G119" s="1" t="s">
        <v>20</v>
      </c>
      <c r="H119" s="1" t="s">
        <v>23</v>
      </c>
      <c r="I119" s="1">
        <v>75</v>
      </c>
      <c r="J119" s="1">
        <v>180</v>
      </c>
      <c r="K119" s="1">
        <v>0.13</v>
      </c>
      <c r="L119" s="1">
        <v>13500</v>
      </c>
      <c r="M119" s="1">
        <v>11745</v>
      </c>
      <c r="N119" s="1">
        <v>10079.02</v>
      </c>
      <c r="O119" s="1">
        <v>1.17</v>
      </c>
      <c r="P119" s="2" t="s">
        <v>52</v>
      </c>
      <c r="Q119" s="14" t="s">
        <v>26</v>
      </c>
    </row>
    <row r="120" spans="1:17" x14ac:dyDescent="0.45">
      <c r="A120" s="10">
        <v>46201</v>
      </c>
      <c r="B120" s="1" t="s">
        <v>191</v>
      </c>
      <c r="C120" s="1" t="s">
        <v>49</v>
      </c>
      <c r="D120" s="1" t="s">
        <v>25</v>
      </c>
      <c r="E120" s="1" t="s">
        <v>98</v>
      </c>
      <c r="F120" s="1" t="s">
        <v>95</v>
      </c>
      <c r="G120" s="1" t="s">
        <v>24</v>
      </c>
      <c r="H120" s="1" t="s">
        <v>30</v>
      </c>
      <c r="I120" s="1">
        <v>84</v>
      </c>
      <c r="J120" s="1">
        <v>40</v>
      </c>
      <c r="K120" s="1">
        <v>0.15</v>
      </c>
      <c r="L120" s="1">
        <v>3360</v>
      </c>
      <c r="M120" s="1">
        <v>2856</v>
      </c>
      <c r="N120" s="1">
        <v>3265.19</v>
      </c>
      <c r="O120" s="1">
        <v>0.87</v>
      </c>
      <c r="P120" s="2" t="s">
        <v>73</v>
      </c>
      <c r="Q120" s="13" t="s">
        <v>34</v>
      </c>
    </row>
    <row r="121" spans="1:17" x14ac:dyDescent="0.45">
      <c r="A121" s="10">
        <v>46028</v>
      </c>
      <c r="B121" s="1" t="s">
        <v>192</v>
      </c>
      <c r="C121" s="1" t="s">
        <v>75</v>
      </c>
      <c r="D121" s="1" t="s">
        <v>15</v>
      </c>
      <c r="E121" s="1" t="s">
        <v>55</v>
      </c>
      <c r="F121" s="1" t="s">
        <v>60</v>
      </c>
      <c r="G121" s="1" t="s">
        <v>24</v>
      </c>
      <c r="H121" s="1" t="s">
        <v>35</v>
      </c>
      <c r="I121" s="1">
        <v>129</v>
      </c>
      <c r="J121" s="1">
        <v>30</v>
      </c>
      <c r="K121" s="1">
        <v>0.02</v>
      </c>
      <c r="L121" s="1">
        <v>3870</v>
      </c>
      <c r="M121" s="1">
        <v>3792.6</v>
      </c>
      <c r="N121" s="1">
        <v>3222.56</v>
      </c>
      <c r="O121" s="1">
        <v>1.18</v>
      </c>
      <c r="P121" s="2" t="s">
        <v>52</v>
      </c>
      <c r="Q121" s="14" t="s">
        <v>16</v>
      </c>
    </row>
    <row r="122" spans="1:17" x14ac:dyDescent="0.45">
      <c r="A122" s="10">
        <v>46101</v>
      </c>
      <c r="B122" s="1" t="s">
        <v>193</v>
      </c>
      <c r="C122" s="1" t="s">
        <v>49</v>
      </c>
      <c r="D122" s="1" t="s">
        <v>28</v>
      </c>
      <c r="E122" s="1" t="s">
        <v>65</v>
      </c>
      <c r="F122" s="1" t="s">
        <v>78</v>
      </c>
      <c r="G122" s="1" t="s">
        <v>14</v>
      </c>
      <c r="H122" s="1" t="s">
        <v>27</v>
      </c>
      <c r="I122" s="1">
        <v>198</v>
      </c>
      <c r="J122" s="1">
        <v>120</v>
      </c>
      <c r="K122" s="1">
        <v>0.03</v>
      </c>
      <c r="L122" s="1">
        <v>23760</v>
      </c>
      <c r="M122" s="1">
        <v>23047.200000000001</v>
      </c>
      <c r="N122" s="1">
        <v>23631.61</v>
      </c>
      <c r="O122" s="1">
        <v>0.98</v>
      </c>
      <c r="P122" s="2" t="s">
        <v>52</v>
      </c>
      <c r="Q122" s="13" t="s">
        <v>26</v>
      </c>
    </row>
    <row r="123" spans="1:17" x14ac:dyDescent="0.45">
      <c r="A123" s="10">
        <v>46040</v>
      </c>
      <c r="B123" s="1" t="s">
        <v>194</v>
      </c>
      <c r="C123" s="1" t="s">
        <v>64</v>
      </c>
      <c r="D123" s="1" t="s">
        <v>21</v>
      </c>
      <c r="E123" s="1" t="s">
        <v>50</v>
      </c>
      <c r="F123" s="1" t="s">
        <v>71</v>
      </c>
      <c r="G123" s="1" t="s">
        <v>20</v>
      </c>
      <c r="H123" s="1" t="s">
        <v>33</v>
      </c>
      <c r="I123" s="1">
        <v>118</v>
      </c>
      <c r="J123" s="1">
        <v>35</v>
      </c>
      <c r="K123" s="1">
        <v>0.09</v>
      </c>
      <c r="L123" s="1">
        <v>4130</v>
      </c>
      <c r="M123" s="1">
        <v>3758.3</v>
      </c>
      <c r="N123" s="1">
        <v>4277.72</v>
      </c>
      <c r="O123" s="1">
        <v>0.88</v>
      </c>
      <c r="P123" s="2" t="s">
        <v>73</v>
      </c>
      <c r="Q123" s="14" t="s">
        <v>16</v>
      </c>
    </row>
    <row r="124" spans="1:17" x14ac:dyDescent="0.45">
      <c r="A124" s="10">
        <v>46160</v>
      </c>
      <c r="B124" s="1" t="s">
        <v>195</v>
      </c>
      <c r="C124" s="1" t="s">
        <v>54</v>
      </c>
      <c r="D124" s="1" t="s">
        <v>21</v>
      </c>
      <c r="E124" s="1" t="s">
        <v>50</v>
      </c>
      <c r="F124" s="1" t="s">
        <v>51</v>
      </c>
      <c r="G124" s="1" t="s">
        <v>14</v>
      </c>
      <c r="H124" s="1" t="s">
        <v>27</v>
      </c>
      <c r="I124" s="1">
        <v>84</v>
      </c>
      <c r="J124" s="1">
        <v>120</v>
      </c>
      <c r="K124" s="1">
        <v>0.04</v>
      </c>
      <c r="L124" s="1">
        <v>10080</v>
      </c>
      <c r="M124" s="1">
        <v>9676.7999999999993</v>
      </c>
      <c r="N124" s="1">
        <v>11550.34</v>
      </c>
      <c r="O124" s="1">
        <v>0.84</v>
      </c>
      <c r="P124" s="2" t="s">
        <v>52</v>
      </c>
      <c r="Q124" s="13" t="s">
        <v>32</v>
      </c>
    </row>
    <row r="125" spans="1:17" x14ac:dyDescent="0.45">
      <c r="A125" s="10">
        <v>46172</v>
      </c>
      <c r="B125" s="1" t="s">
        <v>196</v>
      </c>
      <c r="C125" s="1" t="s">
        <v>49</v>
      </c>
      <c r="D125" s="1" t="s">
        <v>28</v>
      </c>
      <c r="E125" s="1" t="s">
        <v>82</v>
      </c>
      <c r="F125" s="1" t="s">
        <v>60</v>
      </c>
      <c r="G125" s="1" t="s">
        <v>24</v>
      </c>
      <c r="H125" s="1" t="s">
        <v>30</v>
      </c>
      <c r="I125" s="1">
        <v>31</v>
      </c>
      <c r="J125" s="1">
        <v>40</v>
      </c>
      <c r="K125" s="1">
        <v>0.12</v>
      </c>
      <c r="L125" s="1">
        <v>1240</v>
      </c>
      <c r="M125" s="1">
        <v>1091.2</v>
      </c>
      <c r="N125" s="1">
        <v>1146.75</v>
      </c>
      <c r="O125" s="1">
        <v>0.95</v>
      </c>
      <c r="P125" s="2" t="s">
        <v>73</v>
      </c>
      <c r="Q125" s="14" t="s">
        <v>32</v>
      </c>
    </row>
    <row r="126" spans="1:17" x14ac:dyDescent="0.45">
      <c r="A126" s="10">
        <v>46041</v>
      </c>
      <c r="B126" s="1" t="s">
        <v>197</v>
      </c>
      <c r="C126" s="1" t="s">
        <v>75</v>
      </c>
      <c r="D126" s="1" t="s">
        <v>25</v>
      </c>
      <c r="E126" s="1" t="s">
        <v>98</v>
      </c>
      <c r="F126" s="1" t="s">
        <v>60</v>
      </c>
      <c r="G126" s="1" t="s">
        <v>24</v>
      </c>
      <c r="H126" s="1" t="s">
        <v>30</v>
      </c>
      <c r="I126" s="1">
        <v>6</v>
      </c>
      <c r="J126" s="1">
        <v>40</v>
      </c>
      <c r="K126" s="1">
        <v>0.13</v>
      </c>
      <c r="L126" s="1">
        <v>240</v>
      </c>
      <c r="M126" s="1">
        <v>208.8</v>
      </c>
      <c r="N126" s="1">
        <v>250.4</v>
      </c>
      <c r="O126" s="1">
        <v>0.83</v>
      </c>
      <c r="P126" s="2" t="s">
        <v>52</v>
      </c>
      <c r="Q126" s="13" t="s">
        <v>16</v>
      </c>
    </row>
    <row r="127" spans="1:17" x14ac:dyDescent="0.45">
      <c r="A127" s="10">
        <v>46057</v>
      </c>
      <c r="B127" s="1" t="s">
        <v>198</v>
      </c>
      <c r="C127" s="1" t="s">
        <v>75</v>
      </c>
      <c r="D127" s="1" t="s">
        <v>25</v>
      </c>
      <c r="E127" s="1" t="s">
        <v>98</v>
      </c>
      <c r="F127" s="1" t="s">
        <v>56</v>
      </c>
      <c r="G127" s="1" t="s">
        <v>14</v>
      </c>
      <c r="H127" s="1" t="s">
        <v>18</v>
      </c>
      <c r="I127" s="1">
        <v>90</v>
      </c>
      <c r="J127" s="1">
        <v>250</v>
      </c>
      <c r="K127" s="1">
        <v>0.05</v>
      </c>
      <c r="L127" s="1">
        <v>22500</v>
      </c>
      <c r="M127" s="1">
        <v>21375</v>
      </c>
      <c r="N127" s="1">
        <v>21527.84</v>
      </c>
      <c r="O127" s="1">
        <v>0.99</v>
      </c>
      <c r="P127" s="2" t="s">
        <v>52</v>
      </c>
      <c r="Q127" s="14" t="s">
        <v>22</v>
      </c>
    </row>
    <row r="128" spans="1:17" x14ac:dyDescent="0.45">
      <c r="A128" s="10">
        <v>46142</v>
      </c>
      <c r="B128" s="1" t="s">
        <v>199</v>
      </c>
      <c r="C128" s="1" t="s">
        <v>75</v>
      </c>
      <c r="D128" s="1" t="s">
        <v>28</v>
      </c>
      <c r="E128" s="1" t="s">
        <v>70</v>
      </c>
      <c r="F128" s="1" t="s">
        <v>95</v>
      </c>
      <c r="G128" s="1" t="s">
        <v>24</v>
      </c>
      <c r="H128" s="1" t="s">
        <v>35</v>
      </c>
      <c r="I128" s="1">
        <v>159</v>
      </c>
      <c r="J128" s="1">
        <v>30</v>
      </c>
      <c r="K128" s="1">
        <v>0.06</v>
      </c>
      <c r="L128" s="1">
        <v>4770</v>
      </c>
      <c r="M128" s="1">
        <v>4483.8</v>
      </c>
      <c r="N128" s="1">
        <v>4241.28</v>
      </c>
      <c r="O128" s="1">
        <v>1.06</v>
      </c>
      <c r="P128" s="2" t="s">
        <v>73</v>
      </c>
      <c r="Q128" s="13" t="s">
        <v>29</v>
      </c>
    </row>
    <row r="129" spans="1:17" x14ac:dyDescent="0.45">
      <c r="A129" s="10">
        <v>46203</v>
      </c>
      <c r="B129" s="1" t="s">
        <v>200</v>
      </c>
      <c r="C129" s="1" t="s">
        <v>67</v>
      </c>
      <c r="D129" s="1" t="s">
        <v>25</v>
      </c>
      <c r="E129" s="1" t="s">
        <v>68</v>
      </c>
      <c r="F129" s="1" t="s">
        <v>78</v>
      </c>
      <c r="G129" s="1" t="s">
        <v>20</v>
      </c>
      <c r="H129" s="1" t="s">
        <v>23</v>
      </c>
      <c r="I129" s="1">
        <v>44</v>
      </c>
      <c r="J129" s="1">
        <v>180</v>
      </c>
      <c r="K129" s="1">
        <v>0.03</v>
      </c>
      <c r="L129" s="1">
        <v>7920</v>
      </c>
      <c r="M129" s="1">
        <v>7682.4</v>
      </c>
      <c r="N129" s="1">
        <v>7893.59</v>
      </c>
      <c r="O129" s="1">
        <v>0.97</v>
      </c>
      <c r="P129" s="2" t="s">
        <v>73</v>
      </c>
      <c r="Q129" s="14" t="s">
        <v>34</v>
      </c>
    </row>
    <row r="130" spans="1:17" x14ac:dyDescent="0.45">
      <c r="A130" s="10">
        <v>46171</v>
      </c>
      <c r="B130" s="1" t="s">
        <v>201</v>
      </c>
      <c r="C130" s="1" t="s">
        <v>67</v>
      </c>
      <c r="D130" s="1" t="s">
        <v>21</v>
      </c>
      <c r="E130" s="1" t="s">
        <v>50</v>
      </c>
      <c r="F130" s="1" t="s">
        <v>95</v>
      </c>
      <c r="G130" s="1" t="s">
        <v>24</v>
      </c>
      <c r="H130" s="1" t="s">
        <v>30</v>
      </c>
      <c r="I130" s="1">
        <v>177</v>
      </c>
      <c r="J130" s="1">
        <v>40</v>
      </c>
      <c r="K130" s="1">
        <v>0.03</v>
      </c>
      <c r="L130" s="1">
        <v>7080</v>
      </c>
      <c r="M130" s="1">
        <v>6867.6</v>
      </c>
      <c r="N130" s="1">
        <v>6734.65</v>
      </c>
      <c r="O130" s="1">
        <v>1.02</v>
      </c>
      <c r="P130" s="2" t="s">
        <v>52</v>
      </c>
      <c r="Q130" s="13" t="s">
        <v>32</v>
      </c>
    </row>
    <row r="131" spans="1:17" x14ac:dyDescent="0.45">
      <c r="A131" s="10">
        <v>46089</v>
      </c>
      <c r="B131" s="1" t="s">
        <v>202</v>
      </c>
      <c r="C131" s="1" t="s">
        <v>67</v>
      </c>
      <c r="D131" s="1" t="s">
        <v>21</v>
      </c>
      <c r="E131" s="1" t="s">
        <v>50</v>
      </c>
      <c r="F131" s="1" t="s">
        <v>60</v>
      </c>
      <c r="G131" s="1" t="s">
        <v>24</v>
      </c>
      <c r="H131" s="1" t="s">
        <v>35</v>
      </c>
      <c r="I131" s="1">
        <v>96</v>
      </c>
      <c r="J131" s="1">
        <v>30</v>
      </c>
      <c r="K131" s="1">
        <v>0.13</v>
      </c>
      <c r="L131" s="1">
        <v>2880</v>
      </c>
      <c r="M131" s="1">
        <v>2505.6</v>
      </c>
      <c r="N131" s="1">
        <v>2751.94</v>
      </c>
      <c r="O131" s="1">
        <v>0.91</v>
      </c>
      <c r="P131" s="2" t="s">
        <v>52</v>
      </c>
      <c r="Q131" s="14" t="s">
        <v>26</v>
      </c>
    </row>
    <row r="132" spans="1:17" x14ac:dyDescent="0.45">
      <c r="A132" s="10">
        <v>46159</v>
      </c>
      <c r="B132" s="1" t="s">
        <v>203</v>
      </c>
      <c r="C132" s="1" t="s">
        <v>75</v>
      </c>
      <c r="D132" s="1" t="s">
        <v>28</v>
      </c>
      <c r="E132" s="1" t="s">
        <v>59</v>
      </c>
      <c r="F132" s="1" t="s">
        <v>95</v>
      </c>
      <c r="G132" s="1" t="s">
        <v>20</v>
      </c>
      <c r="H132" s="1" t="s">
        <v>33</v>
      </c>
      <c r="I132" s="1">
        <v>127</v>
      </c>
      <c r="J132" s="1">
        <v>35</v>
      </c>
      <c r="K132" s="1">
        <v>0.06</v>
      </c>
      <c r="L132" s="1">
        <v>4445</v>
      </c>
      <c r="M132" s="1">
        <v>4178.3</v>
      </c>
      <c r="N132" s="1">
        <v>4680.17</v>
      </c>
      <c r="O132" s="1">
        <v>0.89</v>
      </c>
      <c r="P132" s="2" t="s">
        <v>73</v>
      </c>
      <c r="Q132" s="13" t="s">
        <v>32</v>
      </c>
    </row>
    <row r="133" spans="1:17" x14ac:dyDescent="0.45">
      <c r="A133" s="10">
        <v>46109</v>
      </c>
      <c r="B133" s="1" t="s">
        <v>204</v>
      </c>
      <c r="C133" s="1" t="s">
        <v>49</v>
      </c>
      <c r="D133" s="1" t="s">
        <v>25</v>
      </c>
      <c r="E133" s="1" t="s">
        <v>68</v>
      </c>
      <c r="F133" s="1" t="s">
        <v>56</v>
      </c>
      <c r="G133" s="1" t="s">
        <v>20</v>
      </c>
      <c r="H133" s="1" t="s">
        <v>33</v>
      </c>
      <c r="I133" s="1">
        <v>19</v>
      </c>
      <c r="J133" s="1">
        <v>35</v>
      </c>
      <c r="K133" s="1">
        <v>0.12</v>
      </c>
      <c r="L133" s="1">
        <v>665</v>
      </c>
      <c r="M133" s="1">
        <v>585.20000000000005</v>
      </c>
      <c r="N133" s="1">
        <v>581.91999999999996</v>
      </c>
      <c r="O133" s="1">
        <v>1.01</v>
      </c>
      <c r="P133" s="2" t="s">
        <v>52</v>
      </c>
      <c r="Q133" s="14" t="s">
        <v>26</v>
      </c>
    </row>
    <row r="134" spans="1:17" x14ac:dyDescent="0.45">
      <c r="A134" s="10">
        <v>46202</v>
      </c>
      <c r="B134" s="1" t="s">
        <v>205</v>
      </c>
      <c r="C134" s="1" t="s">
        <v>75</v>
      </c>
      <c r="D134" s="1" t="s">
        <v>21</v>
      </c>
      <c r="E134" s="1" t="s">
        <v>80</v>
      </c>
      <c r="F134" s="1" t="s">
        <v>51</v>
      </c>
      <c r="G134" s="1" t="s">
        <v>24</v>
      </c>
      <c r="H134" s="1" t="s">
        <v>30</v>
      </c>
      <c r="I134" s="1">
        <v>8</v>
      </c>
      <c r="J134" s="1">
        <v>40</v>
      </c>
      <c r="K134" s="1">
        <v>0.04</v>
      </c>
      <c r="L134" s="1">
        <v>320</v>
      </c>
      <c r="M134" s="1">
        <v>307.2</v>
      </c>
      <c r="N134" s="1">
        <v>365.6</v>
      </c>
      <c r="O134" s="1">
        <v>0.84</v>
      </c>
      <c r="P134" s="2" t="s">
        <v>52</v>
      </c>
      <c r="Q134" s="13" t="s">
        <v>34</v>
      </c>
    </row>
    <row r="135" spans="1:17" x14ac:dyDescent="0.45">
      <c r="A135" s="10">
        <v>46048</v>
      </c>
      <c r="B135" s="1" t="s">
        <v>206</v>
      </c>
      <c r="C135" s="1" t="s">
        <v>54</v>
      </c>
      <c r="D135" s="1" t="s">
        <v>21</v>
      </c>
      <c r="E135" s="1" t="s">
        <v>80</v>
      </c>
      <c r="F135" s="1" t="s">
        <v>95</v>
      </c>
      <c r="G135" s="1" t="s">
        <v>20</v>
      </c>
      <c r="H135" s="1" t="s">
        <v>33</v>
      </c>
      <c r="I135" s="1">
        <v>127</v>
      </c>
      <c r="J135" s="1">
        <v>35</v>
      </c>
      <c r="K135" s="1">
        <v>0.04</v>
      </c>
      <c r="L135" s="1">
        <v>4445</v>
      </c>
      <c r="M135" s="1">
        <v>4267.2</v>
      </c>
      <c r="N135" s="1">
        <v>3789.68</v>
      </c>
      <c r="O135" s="1">
        <v>1.1299999999999999</v>
      </c>
      <c r="P135" s="2" t="s">
        <v>52</v>
      </c>
      <c r="Q135" s="14" t="s">
        <v>16</v>
      </c>
    </row>
    <row r="136" spans="1:17" x14ac:dyDescent="0.45">
      <c r="A136" s="10">
        <v>46063</v>
      </c>
      <c r="B136" s="1" t="s">
        <v>207</v>
      </c>
      <c r="C136" s="1" t="s">
        <v>49</v>
      </c>
      <c r="D136" s="1" t="s">
        <v>28</v>
      </c>
      <c r="E136" s="1" t="s">
        <v>59</v>
      </c>
      <c r="F136" s="1" t="s">
        <v>51</v>
      </c>
      <c r="G136" s="1" t="s">
        <v>24</v>
      </c>
      <c r="H136" s="1" t="s">
        <v>30</v>
      </c>
      <c r="I136" s="1">
        <v>11</v>
      </c>
      <c r="J136" s="1">
        <v>40</v>
      </c>
      <c r="K136" s="1">
        <v>0.06</v>
      </c>
      <c r="L136" s="1">
        <v>440</v>
      </c>
      <c r="M136" s="1">
        <v>413.6</v>
      </c>
      <c r="N136" s="1">
        <v>455.95</v>
      </c>
      <c r="O136" s="1">
        <v>0.91</v>
      </c>
      <c r="P136" s="2" t="s">
        <v>52</v>
      </c>
      <c r="Q136" s="13" t="s">
        <v>22</v>
      </c>
    </row>
    <row r="137" spans="1:17" x14ac:dyDescent="0.45">
      <c r="A137" s="10">
        <v>46040</v>
      </c>
      <c r="B137" s="1" t="s">
        <v>208</v>
      </c>
      <c r="C137" s="1" t="s">
        <v>54</v>
      </c>
      <c r="D137" s="1" t="s">
        <v>15</v>
      </c>
      <c r="E137" s="1" t="s">
        <v>55</v>
      </c>
      <c r="F137" s="1" t="s">
        <v>56</v>
      </c>
      <c r="G137" s="1" t="s">
        <v>24</v>
      </c>
      <c r="H137" s="1" t="s">
        <v>35</v>
      </c>
      <c r="I137" s="1">
        <v>92</v>
      </c>
      <c r="J137" s="1">
        <v>30</v>
      </c>
      <c r="K137" s="1">
        <v>0.15</v>
      </c>
      <c r="L137" s="1">
        <v>2760</v>
      </c>
      <c r="M137" s="1">
        <v>2346</v>
      </c>
      <c r="N137" s="1">
        <v>2571.2199999999998</v>
      </c>
      <c r="O137" s="1">
        <v>0.91</v>
      </c>
      <c r="P137" s="2" t="s">
        <v>73</v>
      </c>
      <c r="Q137" s="14" t="s">
        <v>16</v>
      </c>
    </row>
    <row r="138" spans="1:17" x14ac:dyDescent="0.45">
      <c r="A138" s="10">
        <v>46102</v>
      </c>
      <c r="B138" s="1" t="s">
        <v>209</v>
      </c>
      <c r="C138" s="1" t="s">
        <v>75</v>
      </c>
      <c r="D138" s="1" t="s">
        <v>15</v>
      </c>
      <c r="E138" s="1" t="s">
        <v>55</v>
      </c>
      <c r="F138" s="1" t="s">
        <v>60</v>
      </c>
      <c r="G138" s="1" t="s">
        <v>20</v>
      </c>
      <c r="H138" s="1" t="s">
        <v>33</v>
      </c>
      <c r="I138" s="1">
        <v>165</v>
      </c>
      <c r="J138" s="1">
        <v>35</v>
      </c>
      <c r="K138" s="1">
        <v>0.02</v>
      </c>
      <c r="L138" s="1">
        <v>5775</v>
      </c>
      <c r="M138" s="1">
        <v>5659.5</v>
      </c>
      <c r="N138" s="1">
        <v>6272.78</v>
      </c>
      <c r="O138" s="1">
        <v>0.9</v>
      </c>
      <c r="P138" s="2" t="s">
        <v>52</v>
      </c>
      <c r="Q138" s="13" t="s">
        <v>26</v>
      </c>
    </row>
    <row r="139" spans="1:17" x14ac:dyDescent="0.45">
      <c r="A139" s="10">
        <v>46099</v>
      </c>
      <c r="B139" s="1" t="s">
        <v>210</v>
      </c>
      <c r="C139" s="1" t="s">
        <v>49</v>
      </c>
      <c r="D139" s="1" t="s">
        <v>25</v>
      </c>
      <c r="E139" s="1" t="s">
        <v>98</v>
      </c>
      <c r="F139" s="1" t="s">
        <v>95</v>
      </c>
      <c r="G139" s="1" t="s">
        <v>24</v>
      </c>
      <c r="H139" s="1" t="s">
        <v>30</v>
      </c>
      <c r="I139" s="1">
        <v>45</v>
      </c>
      <c r="J139" s="1">
        <v>40</v>
      </c>
      <c r="K139" s="1">
        <v>0.01</v>
      </c>
      <c r="L139" s="1">
        <v>1800</v>
      </c>
      <c r="M139" s="1">
        <v>1782</v>
      </c>
      <c r="N139" s="1">
        <v>1943.13</v>
      </c>
      <c r="O139" s="1">
        <v>0.92</v>
      </c>
      <c r="P139" s="2" t="s">
        <v>52</v>
      </c>
      <c r="Q139" s="14" t="s">
        <v>26</v>
      </c>
    </row>
    <row r="140" spans="1:17" x14ac:dyDescent="0.45">
      <c r="A140" s="10">
        <v>46078</v>
      </c>
      <c r="B140" s="1" t="s">
        <v>211</v>
      </c>
      <c r="C140" s="1" t="s">
        <v>64</v>
      </c>
      <c r="D140" s="1" t="s">
        <v>25</v>
      </c>
      <c r="E140" s="1" t="s">
        <v>68</v>
      </c>
      <c r="F140" s="1" t="s">
        <v>71</v>
      </c>
      <c r="G140" s="1" t="s">
        <v>20</v>
      </c>
      <c r="H140" s="1" t="s">
        <v>33</v>
      </c>
      <c r="I140" s="1">
        <v>144</v>
      </c>
      <c r="J140" s="1">
        <v>35</v>
      </c>
      <c r="K140" s="1">
        <v>0.08</v>
      </c>
      <c r="L140" s="1">
        <v>5040</v>
      </c>
      <c r="M140" s="1">
        <v>4636.8</v>
      </c>
      <c r="N140" s="1">
        <v>4158.13</v>
      </c>
      <c r="O140" s="1">
        <v>1.1200000000000001</v>
      </c>
      <c r="P140" s="2" t="s">
        <v>52</v>
      </c>
      <c r="Q140" s="13" t="s">
        <v>22</v>
      </c>
    </row>
    <row r="141" spans="1:17" x14ac:dyDescent="0.45">
      <c r="A141" s="10">
        <v>46136</v>
      </c>
      <c r="B141" s="1" t="s">
        <v>212</v>
      </c>
      <c r="C141" s="1" t="s">
        <v>54</v>
      </c>
      <c r="D141" s="1" t="s">
        <v>25</v>
      </c>
      <c r="E141" s="1" t="s">
        <v>98</v>
      </c>
      <c r="F141" s="1" t="s">
        <v>71</v>
      </c>
      <c r="G141" s="1" t="s">
        <v>24</v>
      </c>
      <c r="H141" s="1" t="s">
        <v>35</v>
      </c>
      <c r="I141" s="1">
        <v>7</v>
      </c>
      <c r="J141" s="1">
        <v>30</v>
      </c>
      <c r="K141" s="1">
        <v>0.01</v>
      </c>
      <c r="L141" s="1">
        <v>210</v>
      </c>
      <c r="M141" s="1">
        <v>207.9</v>
      </c>
      <c r="N141" s="1">
        <v>197.24</v>
      </c>
      <c r="O141" s="1">
        <v>1.05</v>
      </c>
      <c r="P141" s="2" t="s">
        <v>73</v>
      </c>
      <c r="Q141" s="14" t="s">
        <v>29</v>
      </c>
    </row>
    <row r="142" spans="1:17" x14ac:dyDescent="0.45">
      <c r="A142" s="10">
        <v>46055</v>
      </c>
      <c r="B142" s="1" t="s">
        <v>213</v>
      </c>
      <c r="C142" s="1" t="s">
        <v>54</v>
      </c>
      <c r="D142" s="1" t="s">
        <v>25</v>
      </c>
      <c r="E142" s="1" t="s">
        <v>68</v>
      </c>
      <c r="F142" s="1" t="s">
        <v>51</v>
      </c>
      <c r="G142" s="1" t="s">
        <v>14</v>
      </c>
      <c r="H142" s="1" t="s">
        <v>27</v>
      </c>
      <c r="I142" s="1">
        <v>152</v>
      </c>
      <c r="J142" s="1">
        <v>120</v>
      </c>
      <c r="K142" s="1">
        <v>0.15</v>
      </c>
      <c r="L142" s="1">
        <v>18240</v>
      </c>
      <c r="M142" s="1">
        <v>15504</v>
      </c>
      <c r="N142" s="1">
        <v>12711.07</v>
      </c>
      <c r="O142" s="1">
        <v>1.22</v>
      </c>
      <c r="P142" s="2" t="s">
        <v>52</v>
      </c>
      <c r="Q142" s="13" t="s">
        <v>22</v>
      </c>
    </row>
    <row r="143" spans="1:17" x14ac:dyDescent="0.45">
      <c r="A143" s="10">
        <v>46029</v>
      </c>
      <c r="B143" s="1" t="s">
        <v>214</v>
      </c>
      <c r="C143" s="1" t="s">
        <v>58</v>
      </c>
      <c r="D143" s="1" t="s">
        <v>15</v>
      </c>
      <c r="E143" s="1" t="s">
        <v>55</v>
      </c>
      <c r="F143" s="1" t="s">
        <v>51</v>
      </c>
      <c r="G143" s="1" t="s">
        <v>20</v>
      </c>
      <c r="H143" s="1" t="s">
        <v>23</v>
      </c>
      <c r="I143" s="1">
        <v>112</v>
      </c>
      <c r="J143" s="1">
        <v>180</v>
      </c>
      <c r="K143" s="1">
        <v>0</v>
      </c>
      <c r="L143" s="1">
        <v>20160</v>
      </c>
      <c r="M143" s="1">
        <v>20160</v>
      </c>
      <c r="N143" s="1">
        <v>22082.03</v>
      </c>
      <c r="O143" s="1">
        <v>0.91</v>
      </c>
      <c r="P143" s="2" t="s">
        <v>73</v>
      </c>
      <c r="Q143" s="14" t="s">
        <v>16</v>
      </c>
    </row>
    <row r="144" spans="1:17" x14ac:dyDescent="0.45">
      <c r="A144" s="10">
        <v>46105</v>
      </c>
      <c r="B144" s="1" t="s">
        <v>215</v>
      </c>
      <c r="C144" s="1" t="s">
        <v>64</v>
      </c>
      <c r="D144" s="1" t="s">
        <v>28</v>
      </c>
      <c r="E144" s="1" t="s">
        <v>82</v>
      </c>
      <c r="F144" s="1" t="s">
        <v>78</v>
      </c>
      <c r="G144" s="1" t="s">
        <v>20</v>
      </c>
      <c r="H144" s="1" t="s">
        <v>33</v>
      </c>
      <c r="I144" s="1">
        <v>97</v>
      </c>
      <c r="J144" s="1">
        <v>35</v>
      </c>
      <c r="K144" s="1">
        <v>0.08</v>
      </c>
      <c r="L144" s="1">
        <v>3395</v>
      </c>
      <c r="M144" s="1">
        <v>3123.4</v>
      </c>
      <c r="N144" s="1">
        <v>2948.99</v>
      </c>
      <c r="O144" s="1">
        <v>1.06</v>
      </c>
      <c r="P144" s="2" t="s">
        <v>73</v>
      </c>
      <c r="Q144" s="13" t="s">
        <v>26</v>
      </c>
    </row>
    <row r="145" spans="1:17" x14ac:dyDescent="0.45">
      <c r="A145" s="10">
        <v>46069</v>
      </c>
      <c r="B145" s="1" t="s">
        <v>216</v>
      </c>
      <c r="C145" s="1" t="s">
        <v>75</v>
      </c>
      <c r="D145" s="1" t="s">
        <v>21</v>
      </c>
      <c r="E145" s="1" t="s">
        <v>50</v>
      </c>
      <c r="F145" s="1" t="s">
        <v>51</v>
      </c>
      <c r="G145" s="1" t="s">
        <v>24</v>
      </c>
      <c r="H145" s="1" t="s">
        <v>30</v>
      </c>
      <c r="I145" s="1">
        <v>36</v>
      </c>
      <c r="J145" s="1">
        <v>40</v>
      </c>
      <c r="K145" s="1">
        <v>0.04</v>
      </c>
      <c r="L145" s="1">
        <v>1440</v>
      </c>
      <c r="M145" s="1">
        <v>1382.4</v>
      </c>
      <c r="N145" s="1">
        <v>1451.74</v>
      </c>
      <c r="O145" s="1">
        <v>0.95</v>
      </c>
      <c r="P145" s="2" t="s">
        <v>73</v>
      </c>
      <c r="Q145" s="14" t="s">
        <v>22</v>
      </c>
    </row>
    <row r="146" spans="1:17" x14ac:dyDescent="0.45">
      <c r="A146" s="10">
        <v>46069</v>
      </c>
      <c r="B146" s="1" t="s">
        <v>217</v>
      </c>
      <c r="C146" s="1" t="s">
        <v>75</v>
      </c>
      <c r="D146" s="1" t="s">
        <v>25</v>
      </c>
      <c r="E146" s="1" t="s">
        <v>98</v>
      </c>
      <c r="F146" s="1" t="s">
        <v>60</v>
      </c>
      <c r="G146" s="1" t="s">
        <v>14</v>
      </c>
      <c r="H146" s="1" t="s">
        <v>27</v>
      </c>
      <c r="I146" s="1">
        <v>29</v>
      </c>
      <c r="J146" s="1">
        <v>120</v>
      </c>
      <c r="K146" s="1">
        <v>0.03</v>
      </c>
      <c r="L146" s="1">
        <v>3480</v>
      </c>
      <c r="M146" s="1">
        <v>3375.6</v>
      </c>
      <c r="N146" s="1">
        <v>3376.06</v>
      </c>
      <c r="O146" s="1">
        <v>1</v>
      </c>
      <c r="P146" s="2" t="s">
        <v>73</v>
      </c>
      <c r="Q146" s="13" t="s">
        <v>22</v>
      </c>
    </row>
    <row r="147" spans="1:17" x14ac:dyDescent="0.45">
      <c r="A147" s="10">
        <v>46194</v>
      </c>
      <c r="B147" s="1" t="s">
        <v>218</v>
      </c>
      <c r="C147" s="1" t="s">
        <v>64</v>
      </c>
      <c r="D147" s="1" t="s">
        <v>15</v>
      </c>
      <c r="E147" s="1" t="s">
        <v>55</v>
      </c>
      <c r="F147" s="1" t="s">
        <v>71</v>
      </c>
      <c r="G147" s="1" t="s">
        <v>14</v>
      </c>
      <c r="H147" s="1" t="s">
        <v>27</v>
      </c>
      <c r="I147" s="1">
        <v>75</v>
      </c>
      <c r="J147" s="1">
        <v>120</v>
      </c>
      <c r="K147" s="1">
        <v>0.15</v>
      </c>
      <c r="L147" s="1">
        <v>9000</v>
      </c>
      <c r="M147" s="1">
        <v>7650</v>
      </c>
      <c r="N147" s="1">
        <v>8543.35</v>
      </c>
      <c r="O147" s="1">
        <v>0.9</v>
      </c>
      <c r="P147" s="2" t="s">
        <v>52</v>
      </c>
      <c r="Q147" s="14" t="s">
        <v>34</v>
      </c>
    </row>
    <row r="148" spans="1:17" x14ac:dyDescent="0.45">
      <c r="A148" s="10">
        <v>46129</v>
      </c>
      <c r="B148" s="1" t="s">
        <v>219</v>
      </c>
      <c r="C148" s="1" t="s">
        <v>67</v>
      </c>
      <c r="D148" s="1" t="s">
        <v>28</v>
      </c>
      <c r="E148" s="1" t="s">
        <v>65</v>
      </c>
      <c r="F148" s="1" t="s">
        <v>51</v>
      </c>
      <c r="G148" s="1" t="s">
        <v>14</v>
      </c>
      <c r="H148" s="1" t="s">
        <v>27</v>
      </c>
      <c r="I148" s="1">
        <v>199</v>
      </c>
      <c r="J148" s="1">
        <v>120</v>
      </c>
      <c r="K148" s="1">
        <v>0.06</v>
      </c>
      <c r="L148" s="1">
        <v>23880</v>
      </c>
      <c r="M148" s="1">
        <v>22447.200000000001</v>
      </c>
      <c r="N148" s="1">
        <v>23487.53</v>
      </c>
      <c r="O148" s="1">
        <v>0.96</v>
      </c>
      <c r="P148" s="2" t="s">
        <v>73</v>
      </c>
      <c r="Q148" s="13" t="s">
        <v>29</v>
      </c>
    </row>
    <row r="149" spans="1:17" x14ac:dyDescent="0.45">
      <c r="A149" s="10">
        <v>46154</v>
      </c>
      <c r="B149" s="1" t="s">
        <v>220</v>
      </c>
      <c r="C149" s="1" t="s">
        <v>64</v>
      </c>
      <c r="D149" s="1" t="s">
        <v>28</v>
      </c>
      <c r="E149" s="1" t="s">
        <v>65</v>
      </c>
      <c r="F149" s="1" t="s">
        <v>71</v>
      </c>
      <c r="G149" s="1" t="s">
        <v>24</v>
      </c>
      <c r="H149" s="1" t="s">
        <v>30</v>
      </c>
      <c r="I149" s="1">
        <v>11</v>
      </c>
      <c r="J149" s="1">
        <v>40</v>
      </c>
      <c r="K149" s="1">
        <v>0.15</v>
      </c>
      <c r="L149" s="1">
        <v>440</v>
      </c>
      <c r="M149" s="1">
        <v>374</v>
      </c>
      <c r="N149" s="1">
        <v>363.69</v>
      </c>
      <c r="O149" s="1">
        <v>1.03</v>
      </c>
      <c r="P149" s="2" t="s">
        <v>52</v>
      </c>
      <c r="Q149" s="14" t="s">
        <v>32</v>
      </c>
    </row>
    <row r="150" spans="1:17" x14ac:dyDescent="0.45">
      <c r="A150" s="10">
        <v>46113</v>
      </c>
      <c r="B150" s="1" t="s">
        <v>221</v>
      </c>
      <c r="C150" s="1" t="s">
        <v>54</v>
      </c>
      <c r="D150" s="1" t="s">
        <v>25</v>
      </c>
      <c r="E150" s="1" t="s">
        <v>98</v>
      </c>
      <c r="F150" s="1" t="s">
        <v>60</v>
      </c>
      <c r="G150" s="1" t="s">
        <v>14</v>
      </c>
      <c r="H150" s="1" t="s">
        <v>27</v>
      </c>
      <c r="I150" s="1">
        <v>57</v>
      </c>
      <c r="J150" s="1">
        <v>120</v>
      </c>
      <c r="K150" s="1">
        <v>0.11</v>
      </c>
      <c r="L150" s="1">
        <v>6840</v>
      </c>
      <c r="M150" s="1">
        <v>6087.6</v>
      </c>
      <c r="N150" s="1">
        <v>7055.15</v>
      </c>
      <c r="O150" s="1">
        <v>0.86</v>
      </c>
      <c r="P150" s="2" t="s">
        <v>73</v>
      </c>
      <c r="Q150" s="13" t="s">
        <v>29</v>
      </c>
    </row>
    <row r="151" spans="1:17" x14ac:dyDescent="0.45">
      <c r="A151" s="10">
        <v>46082</v>
      </c>
      <c r="B151" s="1" t="s">
        <v>222</v>
      </c>
      <c r="C151" s="1" t="s">
        <v>58</v>
      </c>
      <c r="D151" s="1" t="s">
        <v>21</v>
      </c>
      <c r="E151" s="1" t="s">
        <v>50</v>
      </c>
      <c r="F151" s="1" t="s">
        <v>95</v>
      </c>
      <c r="G151" s="1" t="s">
        <v>20</v>
      </c>
      <c r="H151" s="1" t="s">
        <v>23</v>
      </c>
      <c r="I151" s="1">
        <v>67</v>
      </c>
      <c r="J151" s="1">
        <v>180</v>
      </c>
      <c r="K151" s="1">
        <v>0.01</v>
      </c>
      <c r="L151" s="1">
        <v>12060</v>
      </c>
      <c r="M151" s="1">
        <v>11939.4</v>
      </c>
      <c r="N151" s="1">
        <v>10406.120000000001</v>
      </c>
      <c r="O151" s="1">
        <v>1.1499999999999999</v>
      </c>
      <c r="P151" s="2" t="s">
        <v>73</v>
      </c>
      <c r="Q151" s="14" t="s">
        <v>26</v>
      </c>
    </row>
    <row r="152" spans="1:17" x14ac:dyDescent="0.45">
      <c r="A152" s="10">
        <v>46049</v>
      </c>
      <c r="B152" s="1" t="s">
        <v>223</v>
      </c>
      <c r="C152" s="1" t="s">
        <v>54</v>
      </c>
      <c r="D152" s="1" t="s">
        <v>21</v>
      </c>
      <c r="E152" s="1" t="s">
        <v>50</v>
      </c>
      <c r="F152" s="1" t="s">
        <v>60</v>
      </c>
      <c r="G152" s="1" t="s">
        <v>24</v>
      </c>
      <c r="H152" s="1" t="s">
        <v>35</v>
      </c>
      <c r="I152" s="1">
        <v>197</v>
      </c>
      <c r="J152" s="1">
        <v>30</v>
      </c>
      <c r="K152" s="1">
        <v>7.0000000000000007E-2</v>
      </c>
      <c r="L152" s="1">
        <v>5910</v>
      </c>
      <c r="M152" s="1">
        <v>5496.3</v>
      </c>
      <c r="N152" s="1">
        <v>6498.34</v>
      </c>
      <c r="O152" s="1">
        <v>0.85</v>
      </c>
      <c r="P152" s="2" t="s">
        <v>73</v>
      </c>
      <c r="Q152" s="13" t="s">
        <v>16</v>
      </c>
    </row>
    <row r="153" spans="1:17" x14ac:dyDescent="0.45">
      <c r="A153" s="10">
        <v>46177</v>
      </c>
      <c r="B153" s="1" t="s">
        <v>224</v>
      </c>
      <c r="C153" s="1" t="s">
        <v>67</v>
      </c>
      <c r="D153" s="1" t="s">
        <v>25</v>
      </c>
      <c r="E153" s="1" t="s">
        <v>104</v>
      </c>
      <c r="F153" s="1" t="s">
        <v>60</v>
      </c>
      <c r="G153" s="1" t="s">
        <v>14</v>
      </c>
      <c r="H153" s="1" t="s">
        <v>18</v>
      </c>
      <c r="I153" s="1">
        <v>117</v>
      </c>
      <c r="J153" s="1">
        <v>250</v>
      </c>
      <c r="K153" s="1">
        <v>0.08</v>
      </c>
      <c r="L153" s="1">
        <v>29250</v>
      </c>
      <c r="M153" s="1">
        <v>26910</v>
      </c>
      <c r="N153" s="1">
        <v>24364.93</v>
      </c>
      <c r="O153" s="1">
        <v>1.1000000000000001</v>
      </c>
      <c r="P153" s="2" t="s">
        <v>52</v>
      </c>
      <c r="Q153" s="14" t="s">
        <v>34</v>
      </c>
    </row>
    <row r="154" spans="1:17" x14ac:dyDescent="0.45">
      <c r="A154" s="10">
        <v>46177</v>
      </c>
      <c r="B154" s="1" t="s">
        <v>225</v>
      </c>
      <c r="C154" s="1" t="s">
        <v>49</v>
      </c>
      <c r="D154" s="1" t="s">
        <v>28</v>
      </c>
      <c r="E154" s="1" t="s">
        <v>59</v>
      </c>
      <c r="F154" s="1" t="s">
        <v>51</v>
      </c>
      <c r="G154" s="1" t="s">
        <v>24</v>
      </c>
      <c r="H154" s="1" t="s">
        <v>30</v>
      </c>
      <c r="I154" s="1">
        <v>97</v>
      </c>
      <c r="J154" s="1">
        <v>40</v>
      </c>
      <c r="K154" s="1">
        <v>0.1</v>
      </c>
      <c r="L154" s="1">
        <v>3880</v>
      </c>
      <c r="M154" s="1">
        <v>3492</v>
      </c>
      <c r="N154" s="1">
        <v>3634.37</v>
      </c>
      <c r="O154" s="1">
        <v>0.96</v>
      </c>
      <c r="P154" s="2" t="s">
        <v>52</v>
      </c>
      <c r="Q154" s="13" t="s">
        <v>34</v>
      </c>
    </row>
    <row r="155" spans="1:17" x14ac:dyDescent="0.45">
      <c r="A155" s="10">
        <v>46039</v>
      </c>
      <c r="B155" s="1" t="s">
        <v>226</v>
      </c>
      <c r="C155" s="1" t="s">
        <v>64</v>
      </c>
      <c r="D155" s="1" t="s">
        <v>28</v>
      </c>
      <c r="E155" s="1" t="s">
        <v>59</v>
      </c>
      <c r="F155" s="1" t="s">
        <v>51</v>
      </c>
      <c r="G155" s="1" t="s">
        <v>24</v>
      </c>
      <c r="H155" s="1" t="s">
        <v>30</v>
      </c>
      <c r="I155" s="1">
        <v>104</v>
      </c>
      <c r="J155" s="1">
        <v>40</v>
      </c>
      <c r="K155" s="1">
        <v>0.04</v>
      </c>
      <c r="L155" s="1">
        <v>4160</v>
      </c>
      <c r="M155" s="1">
        <v>3993.6</v>
      </c>
      <c r="N155" s="1">
        <v>4659.33</v>
      </c>
      <c r="O155" s="1">
        <v>0.86</v>
      </c>
      <c r="P155" s="2" t="s">
        <v>52</v>
      </c>
      <c r="Q155" s="14" t="s">
        <v>16</v>
      </c>
    </row>
    <row r="156" spans="1:17" x14ac:dyDescent="0.45">
      <c r="A156" s="10">
        <v>46196</v>
      </c>
      <c r="B156" s="1" t="s">
        <v>227</v>
      </c>
      <c r="C156" s="1" t="s">
        <v>64</v>
      </c>
      <c r="D156" s="1" t="s">
        <v>28</v>
      </c>
      <c r="E156" s="1" t="s">
        <v>65</v>
      </c>
      <c r="F156" s="1" t="s">
        <v>60</v>
      </c>
      <c r="G156" s="1" t="s">
        <v>24</v>
      </c>
      <c r="H156" s="1" t="s">
        <v>35</v>
      </c>
      <c r="I156" s="1">
        <v>143</v>
      </c>
      <c r="J156" s="1">
        <v>30</v>
      </c>
      <c r="K156" s="1">
        <v>0.11</v>
      </c>
      <c r="L156" s="1">
        <v>4290</v>
      </c>
      <c r="M156" s="1">
        <v>3818.1</v>
      </c>
      <c r="N156" s="1">
        <v>4423.34</v>
      </c>
      <c r="O156" s="1">
        <v>0.86</v>
      </c>
      <c r="P156" s="2" t="s">
        <v>73</v>
      </c>
      <c r="Q156" s="13" t="s">
        <v>34</v>
      </c>
    </row>
    <row r="157" spans="1:17" x14ac:dyDescent="0.45">
      <c r="A157" s="10">
        <v>46177</v>
      </c>
      <c r="B157" s="1" t="s">
        <v>228</v>
      </c>
      <c r="C157" s="1" t="s">
        <v>54</v>
      </c>
      <c r="D157" s="1" t="s">
        <v>28</v>
      </c>
      <c r="E157" s="1" t="s">
        <v>59</v>
      </c>
      <c r="F157" s="1" t="s">
        <v>95</v>
      </c>
      <c r="G157" s="1" t="s">
        <v>20</v>
      </c>
      <c r="H157" s="1" t="s">
        <v>33</v>
      </c>
      <c r="I157" s="1">
        <v>77</v>
      </c>
      <c r="J157" s="1">
        <v>35</v>
      </c>
      <c r="K157" s="1">
        <v>0.14000000000000001</v>
      </c>
      <c r="L157" s="1">
        <v>2695</v>
      </c>
      <c r="M157" s="1">
        <v>2317.6999999999998</v>
      </c>
      <c r="N157" s="1">
        <v>2271.33</v>
      </c>
      <c r="O157" s="1">
        <v>1.02</v>
      </c>
      <c r="P157" s="2" t="s">
        <v>73</v>
      </c>
      <c r="Q157" s="14" t="s">
        <v>34</v>
      </c>
    </row>
    <row r="158" spans="1:17" x14ac:dyDescent="0.45">
      <c r="A158" s="10">
        <v>46040</v>
      </c>
      <c r="B158" s="1" t="s">
        <v>229</v>
      </c>
      <c r="C158" s="1" t="s">
        <v>64</v>
      </c>
      <c r="D158" s="1" t="s">
        <v>21</v>
      </c>
      <c r="E158" s="1" t="s">
        <v>80</v>
      </c>
      <c r="F158" s="1" t="s">
        <v>56</v>
      </c>
      <c r="G158" s="1" t="s">
        <v>24</v>
      </c>
      <c r="H158" s="1" t="s">
        <v>35</v>
      </c>
      <c r="I158" s="1">
        <v>126</v>
      </c>
      <c r="J158" s="1">
        <v>30</v>
      </c>
      <c r="K158" s="1">
        <v>7.0000000000000007E-2</v>
      </c>
      <c r="L158" s="1">
        <v>3780</v>
      </c>
      <c r="M158" s="1">
        <v>3515.4</v>
      </c>
      <c r="N158" s="1">
        <v>4087.15</v>
      </c>
      <c r="O158" s="1">
        <v>0.86</v>
      </c>
      <c r="P158" s="2" t="s">
        <v>52</v>
      </c>
      <c r="Q158" s="13" t="s">
        <v>16</v>
      </c>
    </row>
    <row r="159" spans="1:17" x14ac:dyDescent="0.45">
      <c r="A159" s="10">
        <v>46040</v>
      </c>
      <c r="B159" s="1" t="s">
        <v>230</v>
      </c>
      <c r="C159" s="1" t="s">
        <v>49</v>
      </c>
      <c r="D159" s="1" t="s">
        <v>21</v>
      </c>
      <c r="E159" s="1" t="s">
        <v>80</v>
      </c>
      <c r="F159" s="1" t="s">
        <v>51</v>
      </c>
      <c r="G159" s="1" t="s">
        <v>24</v>
      </c>
      <c r="H159" s="1" t="s">
        <v>30</v>
      </c>
      <c r="I159" s="1">
        <v>151</v>
      </c>
      <c r="J159" s="1">
        <v>40</v>
      </c>
      <c r="K159" s="1">
        <v>0.11</v>
      </c>
      <c r="L159" s="1">
        <v>6040</v>
      </c>
      <c r="M159" s="1">
        <v>5375.6</v>
      </c>
      <c r="N159" s="1">
        <v>4409.18</v>
      </c>
      <c r="O159" s="1">
        <v>1.22</v>
      </c>
      <c r="P159" s="2" t="s">
        <v>52</v>
      </c>
      <c r="Q159" s="14" t="s">
        <v>16</v>
      </c>
    </row>
    <row r="160" spans="1:17" x14ac:dyDescent="0.45">
      <c r="A160" s="10">
        <v>46077</v>
      </c>
      <c r="B160" s="1" t="s">
        <v>231</v>
      </c>
      <c r="C160" s="1" t="s">
        <v>67</v>
      </c>
      <c r="D160" s="1" t="s">
        <v>21</v>
      </c>
      <c r="E160" s="1" t="s">
        <v>50</v>
      </c>
      <c r="F160" s="1" t="s">
        <v>51</v>
      </c>
      <c r="G160" s="1" t="s">
        <v>14</v>
      </c>
      <c r="H160" s="1" t="s">
        <v>18</v>
      </c>
      <c r="I160" s="1">
        <v>168</v>
      </c>
      <c r="J160" s="1">
        <v>250</v>
      </c>
      <c r="K160" s="1">
        <v>0.1</v>
      </c>
      <c r="L160" s="1">
        <v>42000</v>
      </c>
      <c r="M160" s="1">
        <v>37800</v>
      </c>
      <c r="N160" s="1">
        <v>38978.81</v>
      </c>
      <c r="O160" s="1">
        <v>0.97</v>
      </c>
      <c r="P160" s="2" t="s">
        <v>52</v>
      </c>
      <c r="Q160" s="13" t="s">
        <v>22</v>
      </c>
    </row>
    <row r="161" spans="1:17" x14ac:dyDescent="0.45">
      <c r="A161" s="10">
        <v>46119</v>
      </c>
      <c r="B161" s="1" t="s">
        <v>232</v>
      </c>
      <c r="C161" s="1" t="s">
        <v>64</v>
      </c>
      <c r="D161" s="1" t="s">
        <v>15</v>
      </c>
      <c r="E161" s="1" t="s">
        <v>62</v>
      </c>
      <c r="F161" s="1" t="s">
        <v>71</v>
      </c>
      <c r="G161" s="1" t="s">
        <v>14</v>
      </c>
      <c r="H161" s="1" t="s">
        <v>18</v>
      </c>
      <c r="I161" s="1">
        <v>11</v>
      </c>
      <c r="J161" s="1">
        <v>250</v>
      </c>
      <c r="K161" s="1">
        <v>0.03</v>
      </c>
      <c r="L161" s="1">
        <v>2750</v>
      </c>
      <c r="M161" s="1">
        <v>2667.5</v>
      </c>
      <c r="N161" s="1">
        <v>2617.7800000000002</v>
      </c>
      <c r="O161" s="1">
        <v>1.02</v>
      </c>
      <c r="P161" s="2" t="s">
        <v>73</v>
      </c>
      <c r="Q161" s="14" t="s">
        <v>29</v>
      </c>
    </row>
    <row r="162" spans="1:17" x14ac:dyDescent="0.45">
      <c r="A162" s="10">
        <v>46149</v>
      </c>
      <c r="B162" s="1" t="s">
        <v>233</v>
      </c>
      <c r="C162" s="1" t="s">
        <v>58</v>
      </c>
      <c r="D162" s="1" t="s">
        <v>25</v>
      </c>
      <c r="E162" s="1" t="s">
        <v>104</v>
      </c>
      <c r="F162" s="1" t="s">
        <v>95</v>
      </c>
      <c r="G162" s="1" t="s">
        <v>20</v>
      </c>
      <c r="H162" s="1" t="s">
        <v>33</v>
      </c>
      <c r="I162" s="1">
        <v>159</v>
      </c>
      <c r="J162" s="1">
        <v>35</v>
      </c>
      <c r="K162" s="1">
        <v>0.01</v>
      </c>
      <c r="L162" s="1">
        <v>5565</v>
      </c>
      <c r="M162" s="1">
        <v>5509.35</v>
      </c>
      <c r="N162" s="1">
        <v>6558.95</v>
      </c>
      <c r="O162" s="1">
        <v>0.84</v>
      </c>
      <c r="P162" s="2" t="s">
        <v>73</v>
      </c>
      <c r="Q162" s="13" t="s">
        <v>32</v>
      </c>
    </row>
    <row r="163" spans="1:17" x14ac:dyDescent="0.45">
      <c r="A163" s="10">
        <v>46085</v>
      </c>
      <c r="B163" s="1" t="s">
        <v>234</v>
      </c>
      <c r="C163" s="1" t="s">
        <v>49</v>
      </c>
      <c r="D163" s="1" t="s">
        <v>15</v>
      </c>
      <c r="E163" s="1" t="s">
        <v>55</v>
      </c>
      <c r="F163" s="1" t="s">
        <v>56</v>
      </c>
      <c r="G163" s="1" t="s">
        <v>20</v>
      </c>
      <c r="H163" s="1" t="s">
        <v>33</v>
      </c>
      <c r="I163" s="1">
        <v>98</v>
      </c>
      <c r="J163" s="1">
        <v>35</v>
      </c>
      <c r="K163" s="1">
        <v>0.03</v>
      </c>
      <c r="L163" s="1">
        <v>3430</v>
      </c>
      <c r="M163" s="1">
        <v>3327.1</v>
      </c>
      <c r="N163" s="1">
        <v>3117.01</v>
      </c>
      <c r="O163" s="1">
        <v>1.07</v>
      </c>
      <c r="P163" s="2" t="s">
        <v>73</v>
      </c>
      <c r="Q163" s="14" t="s">
        <v>26</v>
      </c>
    </row>
    <row r="164" spans="1:17" x14ac:dyDescent="0.45">
      <c r="A164" s="10">
        <v>46101</v>
      </c>
      <c r="B164" s="1" t="s">
        <v>235</v>
      </c>
      <c r="C164" s="1" t="s">
        <v>49</v>
      </c>
      <c r="D164" s="1" t="s">
        <v>28</v>
      </c>
      <c r="E164" s="1" t="s">
        <v>65</v>
      </c>
      <c r="F164" s="1" t="s">
        <v>71</v>
      </c>
      <c r="G164" s="1" t="s">
        <v>14</v>
      </c>
      <c r="H164" s="1" t="s">
        <v>18</v>
      </c>
      <c r="I164" s="1">
        <v>158</v>
      </c>
      <c r="J164" s="1">
        <v>250</v>
      </c>
      <c r="K164" s="1">
        <v>0.1</v>
      </c>
      <c r="L164" s="1">
        <v>39500</v>
      </c>
      <c r="M164" s="1">
        <v>35550</v>
      </c>
      <c r="N164" s="1">
        <v>39877.75</v>
      </c>
      <c r="O164" s="1">
        <v>0.89</v>
      </c>
      <c r="P164" s="2" t="s">
        <v>73</v>
      </c>
      <c r="Q164" s="13" t="s">
        <v>26</v>
      </c>
    </row>
    <row r="165" spans="1:17" x14ac:dyDescent="0.45">
      <c r="A165" s="10">
        <v>46099</v>
      </c>
      <c r="B165" s="1" t="s">
        <v>236</v>
      </c>
      <c r="C165" s="1" t="s">
        <v>64</v>
      </c>
      <c r="D165" s="1" t="s">
        <v>21</v>
      </c>
      <c r="E165" s="1" t="s">
        <v>50</v>
      </c>
      <c r="F165" s="1" t="s">
        <v>71</v>
      </c>
      <c r="G165" s="1" t="s">
        <v>20</v>
      </c>
      <c r="H165" s="1" t="s">
        <v>33</v>
      </c>
      <c r="I165" s="1">
        <v>52</v>
      </c>
      <c r="J165" s="1">
        <v>35</v>
      </c>
      <c r="K165" s="1">
        <v>7.0000000000000007E-2</v>
      </c>
      <c r="L165" s="1">
        <v>1820</v>
      </c>
      <c r="M165" s="1">
        <v>1692.6</v>
      </c>
      <c r="N165" s="1">
        <v>1759.52</v>
      </c>
      <c r="O165" s="1">
        <v>0.96</v>
      </c>
      <c r="P165" s="2" t="s">
        <v>52</v>
      </c>
      <c r="Q165" s="14" t="s">
        <v>26</v>
      </c>
    </row>
    <row r="166" spans="1:17" x14ac:dyDescent="0.45">
      <c r="A166" s="10">
        <v>46130</v>
      </c>
      <c r="B166" s="1" t="s">
        <v>237</v>
      </c>
      <c r="C166" s="1" t="s">
        <v>49</v>
      </c>
      <c r="D166" s="1" t="s">
        <v>28</v>
      </c>
      <c r="E166" s="1" t="s">
        <v>59</v>
      </c>
      <c r="F166" s="1" t="s">
        <v>78</v>
      </c>
      <c r="G166" s="1" t="s">
        <v>14</v>
      </c>
      <c r="H166" s="1" t="s">
        <v>27</v>
      </c>
      <c r="I166" s="1">
        <v>48</v>
      </c>
      <c r="J166" s="1">
        <v>120</v>
      </c>
      <c r="K166" s="1">
        <v>0.04</v>
      </c>
      <c r="L166" s="1">
        <v>5760</v>
      </c>
      <c r="M166" s="1">
        <v>5529.6</v>
      </c>
      <c r="N166" s="1">
        <v>6245.41</v>
      </c>
      <c r="O166" s="1">
        <v>0.89</v>
      </c>
      <c r="P166" s="2" t="s">
        <v>52</v>
      </c>
      <c r="Q166" s="13" t="s">
        <v>29</v>
      </c>
    </row>
    <row r="167" spans="1:17" x14ac:dyDescent="0.45">
      <c r="A167" s="10">
        <v>46078</v>
      </c>
      <c r="B167" s="1" t="s">
        <v>238</v>
      </c>
      <c r="C167" s="1" t="s">
        <v>54</v>
      </c>
      <c r="D167" s="1" t="s">
        <v>15</v>
      </c>
      <c r="E167" s="1" t="s">
        <v>55</v>
      </c>
      <c r="F167" s="1" t="s">
        <v>95</v>
      </c>
      <c r="G167" s="1" t="s">
        <v>14</v>
      </c>
      <c r="H167" s="1" t="s">
        <v>27</v>
      </c>
      <c r="I167" s="1">
        <v>97</v>
      </c>
      <c r="J167" s="1">
        <v>120</v>
      </c>
      <c r="K167" s="1">
        <v>0.11</v>
      </c>
      <c r="L167" s="1">
        <v>11640</v>
      </c>
      <c r="M167" s="1">
        <v>10359.6</v>
      </c>
      <c r="N167" s="1">
        <v>11509.51</v>
      </c>
      <c r="O167" s="1">
        <v>0.9</v>
      </c>
      <c r="P167" s="2" t="s">
        <v>52</v>
      </c>
      <c r="Q167" s="14" t="s">
        <v>22</v>
      </c>
    </row>
    <row r="168" spans="1:17" x14ac:dyDescent="0.45">
      <c r="A168" s="10">
        <v>46049</v>
      </c>
      <c r="B168" s="1" t="s">
        <v>239</v>
      </c>
      <c r="C168" s="1" t="s">
        <v>75</v>
      </c>
      <c r="D168" s="1" t="s">
        <v>28</v>
      </c>
      <c r="E168" s="1" t="s">
        <v>59</v>
      </c>
      <c r="F168" s="1" t="s">
        <v>56</v>
      </c>
      <c r="G168" s="1" t="s">
        <v>24</v>
      </c>
      <c r="H168" s="1" t="s">
        <v>30</v>
      </c>
      <c r="I168" s="1">
        <v>47</v>
      </c>
      <c r="J168" s="1">
        <v>40</v>
      </c>
      <c r="K168" s="1">
        <v>0.09</v>
      </c>
      <c r="L168" s="1">
        <v>1880</v>
      </c>
      <c r="M168" s="1">
        <v>1710.8</v>
      </c>
      <c r="N168" s="1">
        <v>1778.9</v>
      </c>
      <c r="O168" s="1">
        <v>0.96</v>
      </c>
      <c r="P168" s="2" t="s">
        <v>73</v>
      </c>
      <c r="Q168" s="13" t="s">
        <v>16</v>
      </c>
    </row>
    <row r="169" spans="1:17" x14ac:dyDescent="0.45">
      <c r="A169" s="10">
        <v>46120</v>
      </c>
      <c r="B169" s="1" t="s">
        <v>240</v>
      </c>
      <c r="C169" s="1" t="s">
        <v>58</v>
      </c>
      <c r="D169" s="1" t="s">
        <v>28</v>
      </c>
      <c r="E169" s="1" t="s">
        <v>65</v>
      </c>
      <c r="F169" s="1" t="s">
        <v>60</v>
      </c>
      <c r="G169" s="1" t="s">
        <v>14</v>
      </c>
      <c r="H169" s="1" t="s">
        <v>27</v>
      </c>
      <c r="I169" s="1">
        <v>161</v>
      </c>
      <c r="J169" s="1">
        <v>120</v>
      </c>
      <c r="K169" s="1">
        <v>0.12</v>
      </c>
      <c r="L169" s="1">
        <v>19320</v>
      </c>
      <c r="M169" s="1">
        <v>17001.599999999999</v>
      </c>
      <c r="N169" s="1">
        <v>18364.509999999998</v>
      </c>
      <c r="O169" s="1">
        <v>0.93</v>
      </c>
      <c r="P169" s="2" t="s">
        <v>52</v>
      </c>
      <c r="Q169" s="14" t="s">
        <v>29</v>
      </c>
    </row>
    <row r="170" spans="1:17" x14ac:dyDescent="0.45">
      <c r="A170" s="10">
        <v>46193</v>
      </c>
      <c r="B170" s="1" t="s">
        <v>241</v>
      </c>
      <c r="C170" s="1" t="s">
        <v>58</v>
      </c>
      <c r="D170" s="1" t="s">
        <v>21</v>
      </c>
      <c r="E170" s="1" t="s">
        <v>80</v>
      </c>
      <c r="F170" s="1" t="s">
        <v>71</v>
      </c>
      <c r="G170" s="1" t="s">
        <v>24</v>
      </c>
      <c r="H170" s="1" t="s">
        <v>30</v>
      </c>
      <c r="I170" s="1">
        <v>80</v>
      </c>
      <c r="J170" s="1">
        <v>40</v>
      </c>
      <c r="K170" s="1">
        <v>0.01</v>
      </c>
      <c r="L170" s="1">
        <v>3200</v>
      </c>
      <c r="M170" s="1">
        <v>3168</v>
      </c>
      <c r="N170" s="1">
        <v>3775</v>
      </c>
      <c r="O170" s="1">
        <v>0.84</v>
      </c>
      <c r="P170" s="2" t="s">
        <v>73</v>
      </c>
      <c r="Q170" s="13" t="s">
        <v>34</v>
      </c>
    </row>
    <row r="171" spans="1:17" x14ac:dyDescent="0.45">
      <c r="A171" s="10">
        <v>46166</v>
      </c>
      <c r="B171" s="1" t="s">
        <v>242</v>
      </c>
      <c r="C171" s="1" t="s">
        <v>49</v>
      </c>
      <c r="D171" s="1" t="s">
        <v>28</v>
      </c>
      <c r="E171" s="1" t="s">
        <v>82</v>
      </c>
      <c r="F171" s="1" t="s">
        <v>78</v>
      </c>
      <c r="G171" s="1" t="s">
        <v>24</v>
      </c>
      <c r="H171" s="1" t="s">
        <v>30</v>
      </c>
      <c r="I171" s="1">
        <v>180</v>
      </c>
      <c r="J171" s="1">
        <v>40</v>
      </c>
      <c r="K171" s="1">
        <v>0.04</v>
      </c>
      <c r="L171" s="1">
        <v>7200</v>
      </c>
      <c r="M171" s="1">
        <v>6912</v>
      </c>
      <c r="N171" s="1">
        <v>7079.45</v>
      </c>
      <c r="O171" s="1">
        <v>0.98</v>
      </c>
      <c r="P171" s="2" t="s">
        <v>52</v>
      </c>
      <c r="Q171" s="14" t="s">
        <v>32</v>
      </c>
    </row>
    <row r="172" spans="1:17" x14ac:dyDescent="0.45">
      <c r="A172" s="10">
        <v>46056</v>
      </c>
      <c r="B172" s="1" t="s">
        <v>243</v>
      </c>
      <c r="C172" s="1" t="s">
        <v>49</v>
      </c>
      <c r="D172" s="1" t="s">
        <v>15</v>
      </c>
      <c r="E172" s="1" t="s">
        <v>55</v>
      </c>
      <c r="F172" s="1" t="s">
        <v>95</v>
      </c>
      <c r="G172" s="1" t="s">
        <v>14</v>
      </c>
      <c r="H172" s="1" t="s">
        <v>27</v>
      </c>
      <c r="I172" s="1">
        <v>122</v>
      </c>
      <c r="J172" s="1">
        <v>120</v>
      </c>
      <c r="K172" s="1">
        <v>0.02</v>
      </c>
      <c r="L172" s="1">
        <v>14640</v>
      </c>
      <c r="M172" s="1">
        <v>14347.2</v>
      </c>
      <c r="N172" s="1">
        <v>15605.68</v>
      </c>
      <c r="O172" s="1">
        <v>0.92</v>
      </c>
      <c r="P172" s="2" t="s">
        <v>52</v>
      </c>
      <c r="Q172" s="13" t="s">
        <v>22</v>
      </c>
    </row>
    <row r="173" spans="1:17" x14ac:dyDescent="0.45">
      <c r="A173" s="10">
        <v>46134</v>
      </c>
      <c r="B173" s="1" t="s">
        <v>244</v>
      </c>
      <c r="C173" s="1" t="s">
        <v>54</v>
      </c>
      <c r="D173" s="1" t="s">
        <v>15</v>
      </c>
      <c r="E173" s="1" t="s">
        <v>55</v>
      </c>
      <c r="F173" s="1" t="s">
        <v>95</v>
      </c>
      <c r="G173" s="1" t="s">
        <v>20</v>
      </c>
      <c r="H173" s="1" t="s">
        <v>23</v>
      </c>
      <c r="I173" s="1">
        <v>122</v>
      </c>
      <c r="J173" s="1">
        <v>180</v>
      </c>
      <c r="K173" s="1">
        <v>0.02</v>
      </c>
      <c r="L173" s="1">
        <v>21960</v>
      </c>
      <c r="M173" s="1">
        <v>21520.799999999999</v>
      </c>
      <c r="N173" s="1">
        <v>17902.66</v>
      </c>
      <c r="O173" s="1">
        <v>1.2</v>
      </c>
      <c r="P173" s="2" t="s">
        <v>52</v>
      </c>
      <c r="Q173" s="14" t="s">
        <v>29</v>
      </c>
    </row>
    <row r="174" spans="1:17" x14ac:dyDescent="0.45">
      <c r="A174" s="10">
        <v>46078</v>
      </c>
      <c r="B174" s="1" t="s">
        <v>245</v>
      </c>
      <c r="C174" s="1" t="s">
        <v>67</v>
      </c>
      <c r="D174" s="1" t="s">
        <v>28</v>
      </c>
      <c r="E174" s="1" t="s">
        <v>65</v>
      </c>
      <c r="F174" s="1" t="s">
        <v>51</v>
      </c>
      <c r="G174" s="1" t="s">
        <v>20</v>
      </c>
      <c r="H174" s="1" t="s">
        <v>33</v>
      </c>
      <c r="I174" s="1">
        <v>28</v>
      </c>
      <c r="J174" s="1">
        <v>35</v>
      </c>
      <c r="K174" s="1">
        <v>0.15</v>
      </c>
      <c r="L174" s="1">
        <v>980</v>
      </c>
      <c r="M174" s="1">
        <v>833</v>
      </c>
      <c r="N174" s="1">
        <v>982.4</v>
      </c>
      <c r="O174" s="1">
        <v>0.85</v>
      </c>
      <c r="P174" s="2" t="s">
        <v>73</v>
      </c>
      <c r="Q174" s="13" t="s">
        <v>22</v>
      </c>
    </row>
    <row r="175" spans="1:17" x14ac:dyDescent="0.45">
      <c r="A175" s="10">
        <v>46173</v>
      </c>
      <c r="B175" s="1" t="s">
        <v>246</v>
      </c>
      <c r="C175" s="1" t="s">
        <v>58</v>
      </c>
      <c r="D175" s="1" t="s">
        <v>21</v>
      </c>
      <c r="E175" s="1" t="s">
        <v>50</v>
      </c>
      <c r="F175" s="1" t="s">
        <v>95</v>
      </c>
      <c r="G175" s="1" t="s">
        <v>20</v>
      </c>
      <c r="H175" s="1" t="s">
        <v>33</v>
      </c>
      <c r="I175" s="1">
        <v>23</v>
      </c>
      <c r="J175" s="1">
        <v>35</v>
      </c>
      <c r="K175" s="1">
        <v>0.15</v>
      </c>
      <c r="L175" s="1">
        <v>805</v>
      </c>
      <c r="M175" s="1">
        <v>684.25</v>
      </c>
      <c r="N175" s="1">
        <v>678.27</v>
      </c>
      <c r="O175" s="1">
        <v>1.01</v>
      </c>
      <c r="P175" s="2" t="s">
        <v>73</v>
      </c>
      <c r="Q175" s="14" t="s">
        <v>32</v>
      </c>
    </row>
    <row r="176" spans="1:17" x14ac:dyDescent="0.45">
      <c r="A176" s="10">
        <v>46130</v>
      </c>
      <c r="B176" s="1" t="s">
        <v>247</v>
      </c>
      <c r="C176" s="1" t="s">
        <v>64</v>
      </c>
      <c r="D176" s="1" t="s">
        <v>21</v>
      </c>
      <c r="E176" s="1" t="s">
        <v>80</v>
      </c>
      <c r="F176" s="1" t="s">
        <v>60</v>
      </c>
      <c r="G176" s="1" t="s">
        <v>24</v>
      </c>
      <c r="H176" s="1" t="s">
        <v>35</v>
      </c>
      <c r="I176" s="1">
        <v>167</v>
      </c>
      <c r="J176" s="1">
        <v>30</v>
      </c>
      <c r="K176" s="1">
        <v>0.03</v>
      </c>
      <c r="L176" s="1">
        <v>5010</v>
      </c>
      <c r="M176" s="1">
        <v>4859.7</v>
      </c>
      <c r="N176" s="1">
        <v>5588.97</v>
      </c>
      <c r="O176" s="1">
        <v>0.87</v>
      </c>
      <c r="P176" s="2" t="s">
        <v>73</v>
      </c>
      <c r="Q176" s="13" t="s">
        <v>29</v>
      </c>
    </row>
    <row r="177" spans="1:17" x14ac:dyDescent="0.45">
      <c r="A177" s="10">
        <v>46151</v>
      </c>
      <c r="B177" s="1" t="s">
        <v>248</v>
      </c>
      <c r="C177" s="1" t="s">
        <v>49</v>
      </c>
      <c r="D177" s="1" t="s">
        <v>25</v>
      </c>
      <c r="E177" s="1" t="s">
        <v>98</v>
      </c>
      <c r="F177" s="1" t="s">
        <v>51</v>
      </c>
      <c r="G177" s="1" t="s">
        <v>24</v>
      </c>
      <c r="H177" s="1" t="s">
        <v>35</v>
      </c>
      <c r="I177" s="1">
        <v>157</v>
      </c>
      <c r="J177" s="1">
        <v>30</v>
      </c>
      <c r="K177" s="1">
        <v>0.12</v>
      </c>
      <c r="L177" s="1">
        <v>4710</v>
      </c>
      <c r="M177" s="1">
        <v>4144.8</v>
      </c>
      <c r="N177" s="1">
        <v>3854.94</v>
      </c>
      <c r="O177" s="1">
        <v>1.08</v>
      </c>
      <c r="P177" s="2" t="s">
        <v>52</v>
      </c>
      <c r="Q177" s="14" t="s">
        <v>32</v>
      </c>
    </row>
    <row r="178" spans="1:17" x14ac:dyDescent="0.45">
      <c r="A178" s="10">
        <v>46080</v>
      </c>
      <c r="B178" s="1" t="s">
        <v>249</v>
      </c>
      <c r="C178" s="1" t="s">
        <v>58</v>
      </c>
      <c r="D178" s="1" t="s">
        <v>21</v>
      </c>
      <c r="E178" s="1" t="s">
        <v>50</v>
      </c>
      <c r="F178" s="1" t="s">
        <v>60</v>
      </c>
      <c r="G178" s="1" t="s">
        <v>20</v>
      </c>
      <c r="H178" s="1" t="s">
        <v>33</v>
      </c>
      <c r="I178" s="1">
        <v>53</v>
      </c>
      <c r="J178" s="1">
        <v>35</v>
      </c>
      <c r="K178" s="1">
        <v>0.03</v>
      </c>
      <c r="L178" s="1">
        <v>1855</v>
      </c>
      <c r="M178" s="1">
        <v>1799.35</v>
      </c>
      <c r="N178" s="1">
        <v>1776.25</v>
      </c>
      <c r="O178" s="1">
        <v>1.01</v>
      </c>
      <c r="P178" s="2" t="s">
        <v>52</v>
      </c>
      <c r="Q178" s="13" t="s">
        <v>22</v>
      </c>
    </row>
    <row r="179" spans="1:17" x14ac:dyDescent="0.45">
      <c r="A179" s="10">
        <v>46189</v>
      </c>
      <c r="B179" s="1" t="s">
        <v>250</v>
      </c>
      <c r="C179" s="1" t="s">
        <v>64</v>
      </c>
      <c r="D179" s="1" t="s">
        <v>21</v>
      </c>
      <c r="E179" s="1" t="s">
        <v>80</v>
      </c>
      <c r="F179" s="1" t="s">
        <v>60</v>
      </c>
      <c r="G179" s="1" t="s">
        <v>24</v>
      </c>
      <c r="H179" s="1" t="s">
        <v>30</v>
      </c>
      <c r="I179" s="1">
        <v>145</v>
      </c>
      <c r="J179" s="1">
        <v>40</v>
      </c>
      <c r="K179" s="1">
        <v>0.01</v>
      </c>
      <c r="L179" s="1">
        <v>5800</v>
      </c>
      <c r="M179" s="1">
        <v>5742</v>
      </c>
      <c r="N179" s="1">
        <v>5901.5</v>
      </c>
      <c r="O179" s="1">
        <v>0.97</v>
      </c>
      <c r="P179" s="2" t="s">
        <v>52</v>
      </c>
      <c r="Q179" s="14" t="s">
        <v>34</v>
      </c>
    </row>
    <row r="180" spans="1:17" x14ac:dyDescent="0.45">
      <c r="A180" s="10">
        <v>46079</v>
      </c>
      <c r="B180" s="1" t="s">
        <v>251</v>
      </c>
      <c r="C180" s="1" t="s">
        <v>75</v>
      </c>
      <c r="D180" s="1" t="s">
        <v>28</v>
      </c>
      <c r="E180" s="1" t="s">
        <v>65</v>
      </c>
      <c r="F180" s="1" t="s">
        <v>51</v>
      </c>
      <c r="G180" s="1" t="s">
        <v>24</v>
      </c>
      <c r="H180" s="1" t="s">
        <v>30</v>
      </c>
      <c r="I180" s="1">
        <v>70</v>
      </c>
      <c r="J180" s="1">
        <v>40</v>
      </c>
      <c r="K180" s="1">
        <v>0.05</v>
      </c>
      <c r="L180" s="1">
        <v>2800</v>
      </c>
      <c r="M180" s="1">
        <v>2660</v>
      </c>
      <c r="N180" s="1">
        <v>3057.57</v>
      </c>
      <c r="O180" s="1">
        <v>0.87</v>
      </c>
      <c r="P180" s="2" t="s">
        <v>52</v>
      </c>
      <c r="Q180" s="13" t="s">
        <v>22</v>
      </c>
    </row>
    <row r="181" spans="1:17" x14ac:dyDescent="0.45">
      <c r="A181" s="10">
        <v>46127</v>
      </c>
      <c r="B181" s="1" t="s">
        <v>252</v>
      </c>
      <c r="C181" s="1" t="s">
        <v>64</v>
      </c>
      <c r="D181" s="1" t="s">
        <v>28</v>
      </c>
      <c r="E181" s="1" t="s">
        <v>59</v>
      </c>
      <c r="F181" s="1" t="s">
        <v>51</v>
      </c>
      <c r="G181" s="1" t="s">
        <v>14</v>
      </c>
      <c r="H181" s="1" t="s">
        <v>18</v>
      </c>
      <c r="I181" s="1">
        <v>193</v>
      </c>
      <c r="J181" s="1">
        <v>250</v>
      </c>
      <c r="K181" s="1">
        <v>0</v>
      </c>
      <c r="L181" s="1">
        <v>48250</v>
      </c>
      <c r="M181" s="1">
        <v>48250</v>
      </c>
      <c r="N181" s="1">
        <v>39104.79</v>
      </c>
      <c r="O181" s="1">
        <v>1.23</v>
      </c>
      <c r="P181" s="2" t="s">
        <v>73</v>
      </c>
      <c r="Q181" s="14" t="s">
        <v>29</v>
      </c>
    </row>
    <row r="182" spans="1:17" x14ac:dyDescent="0.45">
      <c r="A182" s="10">
        <v>46157</v>
      </c>
      <c r="B182" s="1" t="s">
        <v>253</v>
      </c>
      <c r="C182" s="1" t="s">
        <v>49</v>
      </c>
      <c r="D182" s="1" t="s">
        <v>25</v>
      </c>
      <c r="E182" s="1" t="s">
        <v>104</v>
      </c>
      <c r="F182" s="1" t="s">
        <v>51</v>
      </c>
      <c r="G182" s="1" t="s">
        <v>20</v>
      </c>
      <c r="H182" s="1" t="s">
        <v>23</v>
      </c>
      <c r="I182" s="1">
        <v>29</v>
      </c>
      <c r="J182" s="1">
        <v>180</v>
      </c>
      <c r="K182" s="1">
        <v>0.13</v>
      </c>
      <c r="L182" s="1">
        <v>5220</v>
      </c>
      <c r="M182" s="1">
        <v>4541.3999999999996</v>
      </c>
      <c r="N182" s="1">
        <v>4662.26</v>
      </c>
      <c r="O182" s="1">
        <v>0.97</v>
      </c>
      <c r="P182" s="2" t="s">
        <v>52</v>
      </c>
      <c r="Q182" s="13" t="s">
        <v>32</v>
      </c>
    </row>
    <row r="183" spans="1:17" x14ac:dyDescent="0.45">
      <c r="A183" s="10">
        <v>46101</v>
      </c>
      <c r="B183" s="1" t="s">
        <v>254</v>
      </c>
      <c r="C183" s="1" t="s">
        <v>67</v>
      </c>
      <c r="D183" s="1" t="s">
        <v>25</v>
      </c>
      <c r="E183" s="1" t="s">
        <v>68</v>
      </c>
      <c r="F183" s="1" t="s">
        <v>95</v>
      </c>
      <c r="G183" s="1" t="s">
        <v>14</v>
      </c>
      <c r="H183" s="1" t="s">
        <v>27</v>
      </c>
      <c r="I183" s="1">
        <v>13</v>
      </c>
      <c r="J183" s="1">
        <v>120</v>
      </c>
      <c r="K183" s="1">
        <v>0.12</v>
      </c>
      <c r="L183" s="1">
        <v>1560</v>
      </c>
      <c r="M183" s="1">
        <v>1372.8</v>
      </c>
      <c r="N183" s="1">
        <v>1128.28</v>
      </c>
      <c r="O183" s="1">
        <v>1.22</v>
      </c>
      <c r="P183" s="2" t="s">
        <v>52</v>
      </c>
      <c r="Q183" s="14" t="s">
        <v>26</v>
      </c>
    </row>
    <row r="184" spans="1:17" x14ac:dyDescent="0.45">
      <c r="A184" s="10">
        <v>46137</v>
      </c>
      <c r="B184" s="1" t="s">
        <v>255</v>
      </c>
      <c r="C184" s="1" t="s">
        <v>64</v>
      </c>
      <c r="D184" s="1" t="s">
        <v>28</v>
      </c>
      <c r="E184" s="1" t="s">
        <v>59</v>
      </c>
      <c r="F184" s="1" t="s">
        <v>56</v>
      </c>
      <c r="G184" s="1" t="s">
        <v>24</v>
      </c>
      <c r="H184" s="1" t="s">
        <v>35</v>
      </c>
      <c r="I184" s="1">
        <v>64</v>
      </c>
      <c r="J184" s="1">
        <v>30</v>
      </c>
      <c r="K184" s="1">
        <v>0.02</v>
      </c>
      <c r="L184" s="1">
        <v>1920</v>
      </c>
      <c r="M184" s="1">
        <v>1881.6</v>
      </c>
      <c r="N184" s="1">
        <v>1560.15</v>
      </c>
      <c r="O184" s="1">
        <v>1.21</v>
      </c>
      <c r="P184" s="2" t="s">
        <v>73</v>
      </c>
      <c r="Q184" s="13" t="s">
        <v>29</v>
      </c>
    </row>
    <row r="185" spans="1:17" x14ac:dyDescent="0.45">
      <c r="A185" s="10">
        <v>46101</v>
      </c>
      <c r="B185" s="1" t="s">
        <v>256</v>
      </c>
      <c r="C185" s="1" t="s">
        <v>64</v>
      </c>
      <c r="D185" s="1" t="s">
        <v>28</v>
      </c>
      <c r="E185" s="1" t="s">
        <v>59</v>
      </c>
      <c r="F185" s="1" t="s">
        <v>71</v>
      </c>
      <c r="G185" s="1" t="s">
        <v>24</v>
      </c>
      <c r="H185" s="1" t="s">
        <v>35</v>
      </c>
      <c r="I185" s="1">
        <v>175</v>
      </c>
      <c r="J185" s="1">
        <v>30</v>
      </c>
      <c r="K185" s="1">
        <v>0.02</v>
      </c>
      <c r="L185" s="1">
        <v>5250</v>
      </c>
      <c r="M185" s="1">
        <v>5145</v>
      </c>
      <c r="N185" s="1">
        <v>5529.94</v>
      </c>
      <c r="O185" s="1">
        <v>0.93</v>
      </c>
      <c r="P185" s="2" t="s">
        <v>52</v>
      </c>
      <c r="Q185" s="14" t="s">
        <v>26</v>
      </c>
    </row>
    <row r="186" spans="1:17" x14ac:dyDescent="0.45">
      <c r="A186" s="10">
        <v>46183</v>
      </c>
      <c r="B186" s="1" t="s">
        <v>257</v>
      </c>
      <c r="C186" s="1" t="s">
        <v>54</v>
      </c>
      <c r="D186" s="1" t="s">
        <v>28</v>
      </c>
      <c r="E186" s="1" t="s">
        <v>59</v>
      </c>
      <c r="F186" s="1" t="s">
        <v>71</v>
      </c>
      <c r="G186" s="1" t="s">
        <v>24</v>
      </c>
      <c r="H186" s="1" t="s">
        <v>30</v>
      </c>
      <c r="I186" s="1">
        <v>128</v>
      </c>
      <c r="J186" s="1">
        <v>40</v>
      </c>
      <c r="K186" s="1">
        <v>0.1</v>
      </c>
      <c r="L186" s="1">
        <v>5120</v>
      </c>
      <c r="M186" s="1">
        <v>4608</v>
      </c>
      <c r="N186" s="1">
        <v>5496.3</v>
      </c>
      <c r="O186" s="1">
        <v>0.84</v>
      </c>
      <c r="P186" s="2" t="s">
        <v>52</v>
      </c>
      <c r="Q186" s="13" t="s">
        <v>34</v>
      </c>
    </row>
    <row r="187" spans="1:17" x14ac:dyDescent="0.45">
      <c r="A187" s="10">
        <v>46178</v>
      </c>
      <c r="B187" s="1" t="s">
        <v>258</v>
      </c>
      <c r="C187" s="1" t="s">
        <v>58</v>
      </c>
      <c r="D187" s="1" t="s">
        <v>21</v>
      </c>
      <c r="E187" s="1" t="s">
        <v>80</v>
      </c>
      <c r="F187" s="1" t="s">
        <v>56</v>
      </c>
      <c r="G187" s="1" t="s">
        <v>20</v>
      </c>
      <c r="H187" s="1" t="s">
        <v>33</v>
      </c>
      <c r="I187" s="1">
        <v>65</v>
      </c>
      <c r="J187" s="1">
        <v>35</v>
      </c>
      <c r="K187" s="1">
        <v>0.13</v>
      </c>
      <c r="L187" s="1">
        <v>2275</v>
      </c>
      <c r="M187" s="1">
        <v>1979.25</v>
      </c>
      <c r="N187" s="1">
        <v>2110.4299999999998</v>
      </c>
      <c r="O187" s="1">
        <v>0.94</v>
      </c>
      <c r="P187" s="2" t="s">
        <v>52</v>
      </c>
      <c r="Q187" s="14" t="s">
        <v>34</v>
      </c>
    </row>
    <row r="188" spans="1:17" x14ac:dyDescent="0.45">
      <c r="A188" s="10">
        <v>46127</v>
      </c>
      <c r="B188" s="1" t="s">
        <v>259</v>
      </c>
      <c r="C188" s="1" t="s">
        <v>49</v>
      </c>
      <c r="D188" s="1" t="s">
        <v>25</v>
      </c>
      <c r="E188" s="1" t="s">
        <v>68</v>
      </c>
      <c r="F188" s="1" t="s">
        <v>60</v>
      </c>
      <c r="G188" s="1" t="s">
        <v>20</v>
      </c>
      <c r="H188" s="1" t="s">
        <v>33</v>
      </c>
      <c r="I188" s="1">
        <v>187</v>
      </c>
      <c r="J188" s="1">
        <v>35</v>
      </c>
      <c r="K188" s="1">
        <v>0.14000000000000001</v>
      </c>
      <c r="L188" s="1">
        <v>6545</v>
      </c>
      <c r="M188" s="1">
        <v>5628.7</v>
      </c>
      <c r="N188" s="1">
        <v>6122.77</v>
      </c>
      <c r="O188" s="1">
        <v>0.92</v>
      </c>
      <c r="P188" s="2" t="s">
        <v>73</v>
      </c>
      <c r="Q188" s="13" t="s">
        <v>29</v>
      </c>
    </row>
    <row r="189" spans="1:17" x14ac:dyDescent="0.45">
      <c r="A189" s="10">
        <v>46194</v>
      </c>
      <c r="B189" s="1" t="s">
        <v>260</v>
      </c>
      <c r="C189" s="1" t="s">
        <v>58</v>
      </c>
      <c r="D189" s="1" t="s">
        <v>28</v>
      </c>
      <c r="E189" s="1" t="s">
        <v>65</v>
      </c>
      <c r="F189" s="1" t="s">
        <v>78</v>
      </c>
      <c r="G189" s="1" t="s">
        <v>14</v>
      </c>
      <c r="H189" s="1" t="s">
        <v>27</v>
      </c>
      <c r="I189" s="1">
        <v>39</v>
      </c>
      <c r="J189" s="1">
        <v>120</v>
      </c>
      <c r="K189" s="1">
        <v>0.1</v>
      </c>
      <c r="L189" s="1">
        <v>4680</v>
      </c>
      <c r="M189" s="1">
        <v>4212</v>
      </c>
      <c r="N189" s="1">
        <v>4338.32</v>
      </c>
      <c r="O189" s="1">
        <v>0.97</v>
      </c>
      <c r="P189" s="2" t="s">
        <v>73</v>
      </c>
      <c r="Q189" s="14" t="s">
        <v>34</v>
      </c>
    </row>
    <row r="190" spans="1:17" x14ac:dyDescent="0.45">
      <c r="A190" s="10">
        <v>46117</v>
      </c>
      <c r="B190" s="1" t="s">
        <v>261</v>
      </c>
      <c r="C190" s="1" t="s">
        <v>64</v>
      </c>
      <c r="D190" s="1" t="s">
        <v>25</v>
      </c>
      <c r="E190" s="1" t="s">
        <v>104</v>
      </c>
      <c r="F190" s="1" t="s">
        <v>51</v>
      </c>
      <c r="G190" s="1" t="s">
        <v>14</v>
      </c>
      <c r="H190" s="1" t="s">
        <v>18</v>
      </c>
      <c r="I190" s="1">
        <v>105</v>
      </c>
      <c r="J190" s="1">
        <v>250</v>
      </c>
      <c r="K190" s="1">
        <v>0.04</v>
      </c>
      <c r="L190" s="1">
        <v>26250</v>
      </c>
      <c r="M190" s="1">
        <v>25200</v>
      </c>
      <c r="N190" s="1">
        <v>29863.73</v>
      </c>
      <c r="O190" s="1">
        <v>0.84</v>
      </c>
      <c r="P190" s="2" t="s">
        <v>52</v>
      </c>
      <c r="Q190" s="13" t="s">
        <v>29</v>
      </c>
    </row>
    <row r="191" spans="1:17" x14ac:dyDescent="0.45">
      <c r="A191" s="10">
        <v>46025</v>
      </c>
      <c r="B191" s="1" t="s">
        <v>262</v>
      </c>
      <c r="C191" s="1" t="s">
        <v>54</v>
      </c>
      <c r="D191" s="1" t="s">
        <v>28</v>
      </c>
      <c r="E191" s="1" t="s">
        <v>65</v>
      </c>
      <c r="F191" s="1" t="s">
        <v>56</v>
      </c>
      <c r="G191" s="1" t="s">
        <v>24</v>
      </c>
      <c r="H191" s="1" t="s">
        <v>30</v>
      </c>
      <c r="I191" s="1">
        <v>166</v>
      </c>
      <c r="J191" s="1">
        <v>40</v>
      </c>
      <c r="K191" s="1">
        <v>0.04</v>
      </c>
      <c r="L191" s="1">
        <v>6640</v>
      </c>
      <c r="M191" s="1">
        <v>6374.4</v>
      </c>
      <c r="N191" s="1">
        <v>7400.65</v>
      </c>
      <c r="O191" s="1">
        <v>0.86</v>
      </c>
      <c r="P191" s="2" t="s">
        <v>52</v>
      </c>
      <c r="Q191" s="14" t="s">
        <v>16</v>
      </c>
    </row>
    <row r="192" spans="1:17" x14ac:dyDescent="0.45">
      <c r="A192" s="10">
        <v>46166</v>
      </c>
      <c r="B192" s="1" t="s">
        <v>263</v>
      </c>
      <c r="C192" s="1" t="s">
        <v>67</v>
      </c>
      <c r="D192" s="1" t="s">
        <v>28</v>
      </c>
      <c r="E192" s="1" t="s">
        <v>59</v>
      </c>
      <c r="F192" s="1" t="s">
        <v>60</v>
      </c>
      <c r="G192" s="1" t="s">
        <v>24</v>
      </c>
      <c r="H192" s="1" t="s">
        <v>30</v>
      </c>
      <c r="I192" s="1">
        <v>126</v>
      </c>
      <c r="J192" s="1">
        <v>40</v>
      </c>
      <c r="K192" s="1">
        <v>7.0000000000000007E-2</v>
      </c>
      <c r="L192" s="1">
        <v>5040</v>
      </c>
      <c r="M192" s="1">
        <v>4687.2</v>
      </c>
      <c r="N192" s="1">
        <v>5244.35</v>
      </c>
      <c r="O192" s="1">
        <v>0.89</v>
      </c>
      <c r="P192" s="2" t="s">
        <v>52</v>
      </c>
      <c r="Q192" s="13" t="s">
        <v>32</v>
      </c>
    </row>
    <row r="193" spans="1:17" x14ac:dyDescent="0.45">
      <c r="A193" s="10">
        <v>46185</v>
      </c>
      <c r="B193" s="1" t="s">
        <v>264</v>
      </c>
      <c r="C193" s="1" t="s">
        <v>49</v>
      </c>
      <c r="D193" s="1" t="s">
        <v>15</v>
      </c>
      <c r="E193" s="1" t="s">
        <v>55</v>
      </c>
      <c r="F193" s="1" t="s">
        <v>51</v>
      </c>
      <c r="G193" s="1" t="s">
        <v>24</v>
      </c>
      <c r="H193" s="1" t="s">
        <v>30</v>
      </c>
      <c r="I193" s="1">
        <v>111</v>
      </c>
      <c r="J193" s="1">
        <v>40</v>
      </c>
      <c r="K193" s="1">
        <v>0.12</v>
      </c>
      <c r="L193" s="1">
        <v>4440</v>
      </c>
      <c r="M193" s="1">
        <v>3907.2</v>
      </c>
      <c r="N193" s="1">
        <v>4256.09</v>
      </c>
      <c r="O193" s="1">
        <v>0.92</v>
      </c>
      <c r="P193" s="2" t="s">
        <v>52</v>
      </c>
      <c r="Q193" s="14" t="s">
        <v>34</v>
      </c>
    </row>
    <row r="194" spans="1:17" x14ac:dyDescent="0.45">
      <c r="A194" s="10">
        <v>46024</v>
      </c>
      <c r="B194" s="1" t="s">
        <v>265</v>
      </c>
      <c r="C194" s="1" t="s">
        <v>64</v>
      </c>
      <c r="D194" s="1" t="s">
        <v>15</v>
      </c>
      <c r="E194" s="1" t="s">
        <v>55</v>
      </c>
      <c r="F194" s="1" t="s">
        <v>71</v>
      </c>
      <c r="G194" s="1" t="s">
        <v>24</v>
      </c>
      <c r="H194" s="1" t="s">
        <v>35</v>
      </c>
      <c r="I194" s="1">
        <v>176</v>
      </c>
      <c r="J194" s="1">
        <v>30</v>
      </c>
      <c r="K194" s="1">
        <v>0.14000000000000001</v>
      </c>
      <c r="L194" s="1">
        <v>5280</v>
      </c>
      <c r="M194" s="1">
        <v>4540.8</v>
      </c>
      <c r="N194" s="1">
        <v>3972</v>
      </c>
      <c r="O194" s="1">
        <v>1.1399999999999999</v>
      </c>
      <c r="P194" s="2" t="s">
        <v>73</v>
      </c>
      <c r="Q194" s="13" t="s">
        <v>16</v>
      </c>
    </row>
    <row r="195" spans="1:17" x14ac:dyDescent="0.45">
      <c r="A195" s="10">
        <v>46094</v>
      </c>
      <c r="B195" s="1" t="s">
        <v>266</v>
      </c>
      <c r="C195" s="1" t="s">
        <v>49</v>
      </c>
      <c r="D195" s="1" t="s">
        <v>21</v>
      </c>
      <c r="E195" s="1" t="s">
        <v>50</v>
      </c>
      <c r="F195" s="1" t="s">
        <v>71</v>
      </c>
      <c r="G195" s="1" t="s">
        <v>14</v>
      </c>
      <c r="H195" s="1" t="s">
        <v>27</v>
      </c>
      <c r="I195" s="1">
        <v>198</v>
      </c>
      <c r="J195" s="1">
        <v>120</v>
      </c>
      <c r="K195" s="1">
        <v>7.0000000000000007E-2</v>
      </c>
      <c r="L195" s="1">
        <v>23760</v>
      </c>
      <c r="M195" s="1">
        <v>22096.799999999999</v>
      </c>
      <c r="N195" s="1">
        <v>22763.74</v>
      </c>
      <c r="O195" s="1">
        <v>0.97</v>
      </c>
      <c r="P195" s="2" t="s">
        <v>73</v>
      </c>
      <c r="Q195" s="14" t="s">
        <v>26</v>
      </c>
    </row>
    <row r="196" spans="1:17" x14ac:dyDescent="0.45">
      <c r="A196" s="10">
        <v>46045</v>
      </c>
      <c r="B196" s="1" t="s">
        <v>267</v>
      </c>
      <c r="C196" s="1" t="s">
        <v>64</v>
      </c>
      <c r="D196" s="1" t="s">
        <v>28</v>
      </c>
      <c r="E196" s="1" t="s">
        <v>59</v>
      </c>
      <c r="F196" s="1" t="s">
        <v>60</v>
      </c>
      <c r="G196" s="1" t="s">
        <v>24</v>
      </c>
      <c r="H196" s="1" t="s">
        <v>30</v>
      </c>
      <c r="I196" s="1">
        <v>186</v>
      </c>
      <c r="J196" s="1">
        <v>40</v>
      </c>
      <c r="K196" s="1">
        <v>0.01</v>
      </c>
      <c r="L196" s="1">
        <v>7440</v>
      </c>
      <c r="M196" s="1">
        <v>7365.6</v>
      </c>
      <c r="N196" s="1">
        <v>8659.94</v>
      </c>
      <c r="O196" s="1">
        <v>0.85</v>
      </c>
      <c r="P196" s="2" t="s">
        <v>73</v>
      </c>
      <c r="Q196" s="13" t="s">
        <v>16</v>
      </c>
    </row>
    <row r="197" spans="1:17" x14ac:dyDescent="0.45">
      <c r="A197" s="10">
        <v>46122</v>
      </c>
      <c r="B197" s="1" t="s">
        <v>268</v>
      </c>
      <c r="C197" s="1" t="s">
        <v>54</v>
      </c>
      <c r="D197" s="1" t="s">
        <v>28</v>
      </c>
      <c r="E197" s="1" t="s">
        <v>65</v>
      </c>
      <c r="F197" s="1" t="s">
        <v>56</v>
      </c>
      <c r="G197" s="1" t="s">
        <v>20</v>
      </c>
      <c r="H197" s="1" t="s">
        <v>33</v>
      </c>
      <c r="I197" s="1">
        <v>144</v>
      </c>
      <c r="J197" s="1">
        <v>35</v>
      </c>
      <c r="K197" s="1">
        <v>0.04</v>
      </c>
      <c r="L197" s="1">
        <v>5040</v>
      </c>
      <c r="M197" s="1">
        <v>4838.3999999999996</v>
      </c>
      <c r="N197" s="1">
        <v>3892.13</v>
      </c>
      <c r="O197" s="1">
        <v>1.24</v>
      </c>
      <c r="P197" s="2" t="s">
        <v>52</v>
      </c>
      <c r="Q197" s="14" t="s">
        <v>29</v>
      </c>
    </row>
    <row r="198" spans="1:17" x14ac:dyDescent="0.45">
      <c r="A198" s="10">
        <v>46102</v>
      </c>
      <c r="B198" s="1" t="s">
        <v>269</v>
      </c>
      <c r="C198" s="1" t="s">
        <v>58</v>
      </c>
      <c r="D198" s="1" t="s">
        <v>28</v>
      </c>
      <c r="E198" s="1" t="s">
        <v>59</v>
      </c>
      <c r="F198" s="1" t="s">
        <v>56</v>
      </c>
      <c r="G198" s="1" t="s">
        <v>20</v>
      </c>
      <c r="H198" s="1" t="s">
        <v>23</v>
      </c>
      <c r="I198" s="1">
        <v>122</v>
      </c>
      <c r="J198" s="1">
        <v>180</v>
      </c>
      <c r="K198" s="1">
        <v>0.08</v>
      </c>
      <c r="L198" s="1">
        <v>21960</v>
      </c>
      <c r="M198" s="1">
        <v>20203.2</v>
      </c>
      <c r="N198" s="1">
        <v>24207.41</v>
      </c>
      <c r="O198" s="1">
        <v>0.83</v>
      </c>
      <c r="P198" s="2" t="s">
        <v>52</v>
      </c>
      <c r="Q198" s="13" t="s">
        <v>26</v>
      </c>
    </row>
    <row r="199" spans="1:17" x14ac:dyDescent="0.45">
      <c r="A199" s="10">
        <v>46179</v>
      </c>
      <c r="B199" s="1" t="s">
        <v>270</v>
      </c>
      <c r="C199" s="1" t="s">
        <v>67</v>
      </c>
      <c r="D199" s="1" t="s">
        <v>28</v>
      </c>
      <c r="E199" s="1" t="s">
        <v>70</v>
      </c>
      <c r="F199" s="1" t="s">
        <v>78</v>
      </c>
      <c r="G199" s="1" t="s">
        <v>14</v>
      </c>
      <c r="H199" s="1" t="s">
        <v>27</v>
      </c>
      <c r="I199" s="1">
        <v>73</v>
      </c>
      <c r="J199" s="1">
        <v>120</v>
      </c>
      <c r="K199" s="1">
        <v>0.13</v>
      </c>
      <c r="L199" s="1">
        <v>8760</v>
      </c>
      <c r="M199" s="1">
        <v>7621.2</v>
      </c>
      <c r="N199" s="1">
        <v>9043.25</v>
      </c>
      <c r="O199" s="1">
        <v>0.84</v>
      </c>
      <c r="P199" s="2" t="s">
        <v>73</v>
      </c>
      <c r="Q199" s="14" t="s">
        <v>34</v>
      </c>
    </row>
    <row r="200" spans="1:17" x14ac:dyDescent="0.45">
      <c r="A200" s="10">
        <v>46122</v>
      </c>
      <c r="B200" s="1" t="s">
        <v>271</v>
      </c>
      <c r="C200" s="1" t="s">
        <v>49</v>
      </c>
      <c r="D200" s="1" t="s">
        <v>21</v>
      </c>
      <c r="E200" s="1" t="s">
        <v>50</v>
      </c>
      <c r="F200" s="1" t="s">
        <v>78</v>
      </c>
      <c r="G200" s="1" t="s">
        <v>24</v>
      </c>
      <c r="H200" s="1" t="s">
        <v>30</v>
      </c>
      <c r="I200" s="1">
        <v>23</v>
      </c>
      <c r="J200" s="1">
        <v>40</v>
      </c>
      <c r="K200" s="1">
        <v>0.08</v>
      </c>
      <c r="L200" s="1">
        <v>920</v>
      </c>
      <c r="M200" s="1">
        <v>846.4</v>
      </c>
      <c r="N200" s="1">
        <v>753.32</v>
      </c>
      <c r="O200" s="1">
        <v>1.1200000000000001</v>
      </c>
      <c r="P200" s="2" t="s">
        <v>73</v>
      </c>
      <c r="Q200" s="13" t="s">
        <v>29</v>
      </c>
    </row>
    <row r="201" spans="1:17" x14ac:dyDescent="0.45">
      <c r="A201" s="10">
        <v>46190</v>
      </c>
      <c r="B201" s="1" t="s">
        <v>272</v>
      </c>
      <c r="C201" s="1" t="s">
        <v>75</v>
      </c>
      <c r="D201" s="1" t="s">
        <v>21</v>
      </c>
      <c r="E201" s="1" t="s">
        <v>80</v>
      </c>
      <c r="F201" s="1" t="s">
        <v>71</v>
      </c>
      <c r="G201" s="1" t="s">
        <v>14</v>
      </c>
      <c r="H201" s="1" t="s">
        <v>27</v>
      </c>
      <c r="I201" s="1">
        <v>26</v>
      </c>
      <c r="J201" s="1">
        <v>120</v>
      </c>
      <c r="K201" s="1">
        <v>0.03</v>
      </c>
      <c r="L201" s="1">
        <v>3120</v>
      </c>
      <c r="M201" s="1">
        <v>3026.4</v>
      </c>
      <c r="N201" s="1">
        <v>3117.96</v>
      </c>
      <c r="O201" s="1">
        <v>0.97</v>
      </c>
      <c r="P201" s="2" t="s">
        <v>52</v>
      </c>
      <c r="Q201" s="14" t="s">
        <v>34</v>
      </c>
    </row>
    <row r="202" spans="1:17" x14ac:dyDescent="0.45">
      <c r="A202" s="10">
        <v>46110</v>
      </c>
      <c r="B202" s="1" t="s">
        <v>273</v>
      </c>
      <c r="C202" s="1" t="s">
        <v>49</v>
      </c>
      <c r="D202" s="1" t="s">
        <v>21</v>
      </c>
      <c r="E202" s="1" t="s">
        <v>80</v>
      </c>
      <c r="F202" s="1" t="s">
        <v>60</v>
      </c>
      <c r="G202" s="1" t="s">
        <v>14</v>
      </c>
      <c r="H202" s="1" t="s">
        <v>18</v>
      </c>
      <c r="I202" s="1">
        <v>103</v>
      </c>
      <c r="J202" s="1">
        <v>250</v>
      </c>
      <c r="K202" s="1">
        <v>0.04</v>
      </c>
      <c r="L202" s="1">
        <v>25750</v>
      </c>
      <c r="M202" s="1">
        <v>24720</v>
      </c>
      <c r="N202" s="1">
        <v>27033.73</v>
      </c>
      <c r="O202" s="1">
        <v>0.91</v>
      </c>
      <c r="P202" s="2" t="s">
        <v>52</v>
      </c>
      <c r="Q202" s="13" t="s">
        <v>26</v>
      </c>
    </row>
    <row r="203" spans="1:17" x14ac:dyDescent="0.45">
      <c r="A203" s="10">
        <v>46189</v>
      </c>
      <c r="B203" s="1" t="s">
        <v>274</v>
      </c>
      <c r="C203" s="1" t="s">
        <v>49</v>
      </c>
      <c r="D203" s="1" t="s">
        <v>15</v>
      </c>
      <c r="E203" s="1" t="s">
        <v>55</v>
      </c>
      <c r="F203" s="1" t="s">
        <v>60</v>
      </c>
      <c r="G203" s="1" t="s">
        <v>14</v>
      </c>
      <c r="H203" s="1" t="s">
        <v>18</v>
      </c>
      <c r="I203" s="1">
        <v>92</v>
      </c>
      <c r="J203" s="1">
        <v>250</v>
      </c>
      <c r="K203" s="1">
        <v>0.12</v>
      </c>
      <c r="L203" s="1">
        <v>23000</v>
      </c>
      <c r="M203" s="1">
        <v>20240</v>
      </c>
      <c r="N203" s="1">
        <v>21461.77</v>
      </c>
      <c r="O203" s="1">
        <v>0.94</v>
      </c>
      <c r="P203" s="2" t="s">
        <v>73</v>
      </c>
      <c r="Q203" s="14" t="s">
        <v>34</v>
      </c>
    </row>
    <row r="204" spans="1:17" x14ac:dyDescent="0.45">
      <c r="A204" s="10">
        <v>46203</v>
      </c>
      <c r="B204" s="1" t="s">
        <v>275</v>
      </c>
      <c r="C204" s="1" t="s">
        <v>67</v>
      </c>
      <c r="D204" s="1" t="s">
        <v>28</v>
      </c>
      <c r="E204" s="1" t="s">
        <v>82</v>
      </c>
      <c r="F204" s="1" t="s">
        <v>78</v>
      </c>
      <c r="G204" s="1" t="s">
        <v>20</v>
      </c>
      <c r="H204" s="1" t="s">
        <v>23</v>
      </c>
      <c r="I204" s="1">
        <v>86</v>
      </c>
      <c r="J204" s="1">
        <v>180</v>
      </c>
      <c r="K204" s="1">
        <v>0.11</v>
      </c>
      <c r="L204" s="1">
        <v>15480</v>
      </c>
      <c r="M204" s="1">
        <v>13777.2</v>
      </c>
      <c r="N204" s="1">
        <v>15699.22</v>
      </c>
      <c r="O204" s="1">
        <v>0.88</v>
      </c>
      <c r="P204" s="2" t="s">
        <v>73</v>
      </c>
      <c r="Q204" s="13" t="s">
        <v>34</v>
      </c>
    </row>
    <row r="205" spans="1:17" x14ac:dyDescent="0.45">
      <c r="A205" s="10">
        <v>46191</v>
      </c>
      <c r="B205" s="1" t="s">
        <v>276</v>
      </c>
      <c r="C205" s="1" t="s">
        <v>54</v>
      </c>
      <c r="D205" s="1" t="s">
        <v>15</v>
      </c>
      <c r="E205" s="1" t="s">
        <v>62</v>
      </c>
      <c r="F205" s="1" t="s">
        <v>60</v>
      </c>
      <c r="G205" s="1" t="s">
        <v>20</v>
      </c>
      <c r="H205" s="1" t="s">
        <v>23</v>
      </c>
      <c r="I205" s="1">
        <v>164</v>
      </c>
      <c r="J205" s="1">
        <v>180</v>
      </c>
      <c r="K205" s="1">
        <v>0.1</v>
      </c>
      <c r="L205" s="1">
        <v>29520</v>
      </c>
      <c r="M205" s="1">
        <v>26568</v>
      </c>
      <c r="N205" s="1">
        <v>29858.89</v>
      </c>
      <c r="O205" s="1">
        <v>0.89</v>
      </c>
      <c r="P205" s="2" t="s">
        <v>73</v>
      </c>
      <c r="Q205" s="14" t="s">
        <v>34</v>
      </c>
    </row>
    <row r="206" spans="1:17" x14ac:dyDescent="0.45">
      <c r="A206" s="10">
        <v>46088</v>
      </c>
      <c r="B206" s="1" t="s">
        <v>277</v>
      </c>
      <c r="C206" s="1" t="s">
        <v>54</v>
      </c>
      <c r="D206" s="1" t="s">
        <v>25</v>
      </c>
      <c r="E206" s="1" t="s">
        <v>98</v>
      </c>
      <c r="F206" s="1" t="s">
        <v>78</v>
      </c>
      <c r="G206" s="1" t="s">
        <v>20</v>
      </c>
      <c r="H206" s="1" t="s">
        <v>33</v>
      </c>
      <c r="I206" s="1">
        <v>6</v>
      </c>
      <c r="J206" s="1">
        <v>35</v>
      </c>
      <c r="K206" s="1">
        <v>0.14000000000000001</v>
      </c>
      <c r="L206" s="1">
        <v>210</v>
      </c>
      <c r="M206" s="1">
        <v>180.6</v>
      </c>
      <c r="N206" s="1">
        <v>187.15</v>
      </c>
      <c r="O206" s="1">
        <v>0.97</v>
      </c>
      <c r="P206" s="2" t="s">
        <v>73</v>
      </c>
      <c r="Q206" s="13" t="s">
        <v>26</v>
      </c>
    </row>
    <row r="207" spans="1:17" x14ac:dyDescent="0.45">
      <c r="A207" s="10">
        <v>46196</v>
      </c>
      <c r="B207" s="1" t="s">
        <v>278</v>
      </c>
      <c r="C207" s="1" t="s">
        <v>75</v>
      </c>
      <c r="D207" s="1" t="s">
        <v>15</v>
      </c>
      <c r="E207" s="1" t="s">
        <v>62</v>
      </c>
      <c r="F207" s="1" t="s">
        <v>78</v>
      </c>
      <c r="G207" s="1" t="s">
        <v>14</v>
      </c>
      <c r="H207" s="1" t="s">
        <v>18</v>
      </c>
      <c r="I207" s="1">
        <v>48</v>
      </c>
      <c r="J207" s="1">
        <v>250</v>
      </c>
      <c r="K207" s="1">
        <v>0.12</v>
      </c>
      <c r="L207" s="1">
        <v>12000</v>
      </c>
      <c r="M207" s="1">
        <v>10560</v>
      </c>
      <c r="N207" s="1">
        <v>8678.49</v>
      </c>
      <c r="O207" s="1">
        <v>1.22</v>
      </c>
      <c r="P207" s="2" t="s">
        <v>52</v>
      </c>
      <c r="Q207" s="14" t="s">
        <v>34</v>
      </c>
    </row>
    <row r="208" spans="1:17" x14ac:dyDescent="0.45">
      <c r="A208" s="10">
        <v>46104</v>
      </c>
      <c r="B208" s="1" t="s">
        <v>279</v>
      </c>
      <c r="C208" s="1" t="s">
        <v>54</v>
      </c>
      <c r="D208" s="1" t="s">
        <v>21</v>
      </c>
      <c r="E208" s="1" t="s">
        <v>50</v>
      </c>
      <c r="F208" s="1" t="s">
        <v>95</v>
      </c>
      <c r="G208" s="1" t="s">
        <v>24</v>
      </c>
      <c r="H208" s="1" t="s">
        <v>35</v>
      </c>
      <c r="I208" s="1">
        <v>25</v>
      </c>
      <c r="J208" s="1">
        <v>30</v>
      </c>
      <c r="K208" s="1">
        <v>7.0000000000000007E-2</v>
      </c>
      <c r="L208" s="1">
        <v>750</v>
      </c>
      <c r="M208" s="1">
        <v>697.5</v>
      </c>
      <c r="N208" s="1">
        <v>786.67</v>
      </c>
      <c r="O208" s="1">
        <v>0.89</v>
      </c>
      <c r="P208" s="2" t="s">
        <v>73</v>
      </c>
      <c r="Q208" s="13" t="s">
        <v>26</v>
      </c>
    </row>
    <row r="209" spans="1:17" x14ac:dyDescent="0.45">
      <c r="A209" s="10">
        <v>46179</v>
      </c>
      <c r="B209" s="1" t="s">
        <v>280</v>
      </c>
      <c r="C209" s="1" t="s">
        <v>64</v>
      </c>
      <c r="D209" s="1" t="s">
        <v>21</v>
      </c>
      <c r="E209" s="1" t="s">
        <v>50</v>
      </c>
      <c r="F209" s="1" t="s">
        <v>71</v>
      </c>
      <c r="G209" s="1" t="s">
        <v>20</v>
      </c>
      <c r="H209" s="1" t="s">
        <v>23</v>
      </c>
      <c r="I209" s="1">
        <v>10</v>
      </c>
      <c r="J209" s="1">
        <v>180</v>
      </c>
      <c r="K209" s="1">
        <v>0.1</v>
      </c>
      <c r="L209" s="1">
        <v>1800</v>
      </c>
      <c r="M209" s="1">
        <v>1620</v>
      </c>
      <c r="N209" s="1">
        <v>1387.42</v>
      </c>
      <c r="O209" s="1">
        <v>1.17</v>
      </c>
      <c r="P209" s="2" t="s">
        <v>73</v>
      </c>
      <c r="Q209" s="14" t="s">
        <v>34</v>
      </c>
    </row>
    <row r="210" spans="1:17" x14ac:dyDescent="0.45">
      <c r="A210" s="10">
        <v>46127</v>
      </c>
      <c r="B210" s="1" t="s">
        <v>281</v>
      </c>
      <c r="C210" s="1" t="s">
        <v>64</v>
      </c>
      <c r="D210" s="1" t="s">
        <v>25</v>
      </c>
      <c r="E210" s="1" t="s">
        <v>98</v>
      </c>
      <c r="F210" s="1" t="s">
        <v>51</v>
      </c>
      <c r="G210" s="1" t="s">
        <v>20</v>
      </c>
      <c r="H210" s="1" t="s">
        <v>23</v>
      </c>
      <c r="I210" s="1">
        <v>13</v>
      </c>
      <c r="J210" s="1">
        <v>180</v>
      </c>
      <c r="K210" s="1">
        <v>0.15</v>
      </c>
      <c r="L210" s="1">
        <v>2340</v>
      </c>
      <c r="M210" s="1">
        <v>1989</v>
      </c>
      <c r="N210" s="1">
        <v>2243.44</v>
      </c>
      <c r="O210" s="1">
        <v>0.89</v>
      </c>
      <c r="P210" s="2" t="s">
        <v>52</v>
      </c>
      <c r="Q210" s="13" t="s">
        <v>29</v>
      </c>
    </row>
    <row r="211" spans="1:17" x14ac:dyDescent="0.45">
      <c r="A211" s="10">
        <v>46198</v>
      </c>
      <c r="B211" s="1" t="s">
        <v>282</v>
      </c>
      <c r="C211" s="1" t="s">
        <v>54</v>
      </c>
      <c r="D211" s="1" t="s">
        <v>21</v>
      </c>
      <c r="E211" s="1" t="s">
        <v>80</v>
      </c>
      <c r="F211" s="1" t="s">
        <v>71</v>
      </c>
      <c r="G211" s="1" t="s">
        <v>24</v>
      </c>
      <c r="H211" s="1" t="s">
        <v>30</v>
      </c>
      <c r="I211" s="1">
        <v>91</v>
      </c>
      <c r="J211" s="1">
        <v>40</v>
      </c>
      <c r="K211" s="1">
        <v>0.08</v>
      </c>
      <c r="L211" s="1">
        <v>3640</v>
      </c>
      <c r="M211" s="1">
        <v>3348.8</v>
      </c>
      <c r="N211" s="1">
        <v>3733</v>
      </c>
      <c r="O211" s="1">
        <v>0.9</v>
      </c>
      <c r="P211" s="2" t="s">
        <v>73</v>
      </c>
      <c r="Q211" s="14" t="s">
        <v>34</v>
      </c>
    </row>
    <row r="212" spans="1:17" x14ac:dyDescent="0.45">
      <c r="A212" s="10">
        <v>46185</v>
      </c>
      <c r="B212" s="1" t="s">
        <v>283</v>
      </c>
      <c r="C212" s="1" t="s">
        <v>49</v>
      </c>
      <c r="D212" s="1" t="s">
        <v>28</v>
      </c>
      <c r="E212" s="1" t="s">
        <v>82</v>
      </c>
      <c r="F212" s="1" t="s">
        <v>51</v>
      </c>
      <c r="G212" s="1" t="s">
        <v>20</v>
      </c>
      <c r="H212" s="1" t="s">
        <v>33</v>
      </c>
      <c r="I212" s="1">
        <v>32</v>
      </c>
      <c r="J212" s="1">
        <v>35</v>
      </c>
      <c r="K212" s="1">
        <v>0.03</v>
      </c>
      <c r="L212" s="1">
        <v>1120</v>
      </c>
      <c r="M212" s="1">
        <v>1086.4000000000001</v>
      </c>
      <c r="N212" s="1">
        <v>1021.19</v>
      </c>
      <c r="O212" s="1">
        <v>1.06</v>
      </c>
      <c r="P212" s="2" t="s">
        <v>52</v>
      </c>
      <c r="Q212" s="13" t="s">
        <v>34</v>
      </c>
    </row>
    <row r="213" spans="1:17" x14ac:dyDescent="0.45">
      <c r="A213" s="10">
        <v>46115</v>
      </c>
      <c r="B213" s="1" t="s">
        <v>284</v>
      </c>
      <c r="C213" s="1" t="s">
        <v>49</v>
      </c>
      <c r="D213" s="1" t="s">
        <v>25</v>
      </c>
      <c r="E213" s="1" t="s">
        <v>98</v>
      </c>
      <c r="F213" s="1" t="s">
        <v>56</v>
      </c>
      <c r="G213" s="1" t="s">
        <v>24</v>
      </c>
      <c r="H213" s="1" t="s">
        <v>30</v>
      </c>
      <c r="I213" s="1">
        <v>15</v>
      </c>
      <c r="J213" s="1">
        <v>40</v>
      </c>
      <c r="K213" s="1">
        <v>0</v>
      </c>
      <c r="L213" s="1">
        <v>600</v>
      </c>
      <c r="M213" s="1">
        <v>600</v>
      </c>
      <c r="N213" s="1">
        <v>536.57000000000005</v>
      </c>
      <c r="O213" s="1">
        <v>1.1200000000000001</v>
      </c>
      <c r="P213" s="2" t="s">
        <v>73</v>
      </c>
      <c r="Q213" s="14" t="s">
        <v>29</v>
      </c>
    </row>
    <row r="214" spans="1:17" x14ac:dyDescent="0.45">
      <c r="A214" s="10">
        <v>46058</v>
      </c>
      <c r="B214" s="1" t="s">
        <v>285</v>
      </c>
      <c r="C214" s="1" t="s">
        <v>75</v>
      </c>
      <c r="D214" s="1" t="s">
        <v>21</v>
      </c>
      <c r="E214" s="1" t="s">
        <v>80</v>
      </c>
      <c r="F214" s="1" t="s">
        <v>71</v>
      </c>
      <c r="G214" s="1" t="s">
        <v>20</v>
      </c>
      <c r="H214" s="1" t="s">
        <v>23</v>
      </c>
      <c r="I214" s="1">
        <v>198</v>
      </c>
      <c r="J214" s="1">
        <v>180</v>
      </c>
      <c r="K214" s="1">
        <v>0.15</v>
      </c>
      <c r="L214" s="1">
        <v>35640</v>
      </c>
      <c r="M214" s="1">
        <v>30294</v>
      </c>
      <c r="N214" s="1">
        <v>26791.200000000001</v>
      </c>
      <c r="O214" s="1">
        <v>1.1299999999999999</v>
      </c>
      <c r="P214" s="2" t="s">
        <v>52</v>
      </c>
      <c r="Q214" s="13" t="s">
        <v>22</v>
      </c>
    </row>
    <row r="215" spans="1:17" x14ac:dyDescent="0.45">
      <c r="A215" s="10">
        <v>46176</v>
      </c>
      <c r="B215" s="1" t="s">
        <v>286</v>
      </c>
      <c r="C215" s="1" t="s">
        <v>58</v>
      </c>
      <c r="D215" s="1" t="s">
        <v>21</v>
      </c>
      <c r="E215" s="1" t="s">
        <v>80</v>
      </c>
      <c r="F215" s="1" t="s">
        <v>51</v>
      </c>
      <c r="G215" s="1" t="s">
        <v>14</v>
      </c>
      <c r="H215" s="1" t="s">
        <v>18</v>
      </c>
      <c r="I215" s="1">
        <v>30</v>
      </c>
      <c r="J215" s="1">
        <v>250</v>
      </c>
      <c r="K215" s="1">
        <v>0.14000000000000001</v>
      </c>
      <c r="L215" s="1">
        <v>7500</v>
      </c>
      <c r="M215" s="1">
        <v>6450</v>
      </c>
      <c r="N215" s="1">
        <v>6218.84</v>
      </c>
      <c r="O215" s="1">
        <v>1.04</v>
      </c>
      <c r="P215" s="2" t="s">
        <v>73</v>
      </c>
      <c r="Q215" s="14" t="s">
        <v>34</v>
      </c>
    </row>
    <row r="216" spans="1:17" x14ac:dyDescent="0.45">
      <c r="A216" s="10">
        <v>46023</v>
      </c>
      <c r="B216" s="1" t="s">
        <v>287</v>
      </c>
      <c r="C216" s="1" t="s">
        <v>64</v>
      </c>
      <c r="D216" s="1" t="s">
        <v>25</v>
      </c>
      <c r="E216" s="1" t="s">
        <v>68</v>
      </c>
      <c r="F216" s="1" t="s">
        <v>78</v>
      </c>
      <c r="G216" s="1" t="s">
        <v>24</v>
      </c>
      <c r="H216" s="1" t="s">
        <v>35</v>
      </c>
      <c r="I216" s="1">
        <v>166</v>
      </c>
      <c r="J216" s="1">
        <v>30</v>
      </c>
      <c r="K216" s="1">
        <v>0.1</v>
      </c>
      <c r="L216" s="1">
        <v>4980</v>
      </c>
      <c r="M216" s="1">
        <v>4482</v>
      </c>
      <c r="N216" s="1">
        <v>4042.52</v>
      </c>
      <c r="O216" s="1">
        <v>1.1100000000000001</v>
      </c>
      <c r="P216" s="2" t="s">
        <v>52</v>
      </c>
      <c r="Q216" s="13" t="s">
        <v>16</v>
      </c>
    </row>
    <row r="217" spans="1:17" x14ac:dyDescent="0.45">
      <c r="A217" s="10">
        <v>46038</v>
      </c>
      <c r="B217" s="1" t="s">
        <v>288</v>
      </c>
      <c r="C217" s="1" t="s">
        <v>54</v>
      </c>
      <c r="D217" s="1" t="s">
        <v>28</v>
      </c>
      <c r="E217" s="1" t="s">
        <v>70</v>
      </c>
      <c r="F217" s="1" t="s">
        <v>78</v>
      </c>
      <c r="G217" s="1" t="s">
        <v>24</v>
      </c>
      <c r="H217" s="1" t="s">
        <v>30</v>
      </c>
      <c r="I217" s="1">
        <v>70</v>
      </c>
      <c r="J217" s="1">
        <v>40</v>
      </c>
      <c r="K217" s="1">
        <v>0.02</v>
      </c>
      <c r="L217" s="1">
        <v>2800</v>
      </c>
      <c r="M217" s="1">
        <v>2744</v>
      </c>
      <c r="N217" s="1">
        <v>2266.6</v>
      </c>
      <c r="O217" s="1">
        <v>1.21</v>
      </c>
      <c r="P217" s="2" t="s">
        <v>52</v>
      </c>
      <c r="Q217" s="14" t="s">
        <v>16</v>
      </c>
    </row>
    <row r="218" spans="1:17" x14ac:dyDescent="0.45">
      <c r="A218" s="10">
        <v>46126</v>
      </c>
      <c r="B218" s="1" t="s">
        <v>289</v>
      </c>
      <c r="C218" s="1" t="s">
        <v>75</v>
      </c>
      <c r="D218" s="1" t="s">
        <v>21</v>
      </c>
      <c r="E218" s="1" t="s">
        <v>80</v>
      </c>
      <c r="F218" s="1" t="s">
        <v>78</v>
      </c>
      <c r="G218" s="1" t="s">
        <v>24</v>
      </c>
      <c r="H218" s="1" t="s">
        <v>35</v>
      </c>
      <c r="I218" s="1">
        <v>129</v>
      </c>
      <c r="J218" s="1">
        <v>30</v>
      </c>
      <c r="K218" s="1">
        <v>0.13</v>
      </c>
      <c r="L218" s="1">
        <v>3870</v>
      </c>
      <c r="M218" s="1">
        <v>3366.9</v>
      </c>
      <c r="N218" s="1">
        <v>4010.58</v>
      </c>
      <c r="O218" s="1">
        <v>0.84</v>
      </c>
      <c r="P218" s="2" t="s">
        <v>73</v>
      </c>
      <c r="Q218" s="13" t="s">
        <v>29</v>
      </c>
    </row>
    <row r="219" spans="1:17" x14ac:dyDescent="0.45">
      <c r="A219" s="10">
        <v>46165</v>
      </c>
      <c r="B219" s="1" t="s">
        <v>290</v>
      </c>
      <c r="C219" s="1" t="s">
        <v>58</v>
      </c>
      <c r="D219" s="1" t="s">
        <v>15</v>
      </c>
      <c r="E219" s="1" t="s">
        <v>62</v>
      </c>
      <c r="F219" s="1" t="s">
        <v>60</v>
      </c>
      <c r="G219" s="1" t="s">
        <v>14</v>
      </c>
      <c r="H219" s="1" t="s">
        <v>18</v>
      </c>
      <c r="I219" s="1">
        <v>35</v>
      </c>
      <c r="J219" s="1">
        <v>250</v>
      </c>
      <c r="K219" s="1">
        <v>0.13</v>
      </c>
      <c r="L219" s="1">
        <v>8750</v>
      </c>
      <c r="M219" s="1">
        <v>7612.5</v>
      </c>
      <c r="N219" s="1">
        <v>6187.16</v>
      </c>
      <c r="O219" s="1">
        <v>1.23</v>
      </c>
      <c r="P219" s="2" t="s">
        <v>73</v>
      </c>
      <c r="Q219" s="14" t="s">
        <v>32</v>
      </c>
    </row>
    <row r="220" spans="1:17" x14ac:dyDescent="0.45">
      <c r="A220" s="10">
        <v>46057</v>
      </c>
      <c r="B220" s="1" t="s">
        <v>291</v>
      </c>
      <c r="C220" s="1" t="s">
        <v>54</v>
      </c>
      <c r="D220" s="1" t="s">
        <v>25</v>
      </c>
      <c r="E220" s="1" t="s">
        <v>98</v>
      </c>
      <c r="F220" s="1" t="s">
        <v>95</v>
      </c>
      <c r="G220" s="1" t="s">
        <v>20</v>
      </c>
      <c r="H220" s="1" t="s">
        <v>33</v>
      </c>
      <c r="I220" s="1">
        <v>22</v>
      </c>
      <c r="J220" s="1">
        <v>35</v>
      </c>
      <c r="K220" s="1">
        <v>0.08</v>
      </c>
      <c r="L220" s="1">
        <v>770</v>
      </c>
      <c r="M220" s="1">
        <v>708.4</v>
      </c>
      <c r="N220" s="1">
        <v>698.38</v>
      </c>
      <c r="O220" s="1">
        <v>1.01</v>
      </c>
      <c r="P220" s="2" t="s">
        <v>73</v>
      </c>
      <c r="Q220" s="13" t="s">
        <v>22</v>
      </c>
    </row>
    <row r="221" spans="1:17" x14ac:dyDescent="0.45">
      <c r="A221" s="10">
        <v>46062</v>
      </c>
      <c r="B221" s="1" t="s">
        <v>292</v>
      </c>
      <c r="C221" s="1" t="s">
        <v>75</v>
      </c>
      <c r="D221" s="1" t="s">
        <v>25</v>
      </c>
      <c r="E221" s="1" t="s">
        <v>68</v>
      </c>
      <c r="F221" s="1" t="s">
        <v>51</v>
      </c>
      <c r="G221" s="1" t="s">
        <v>24</v>
      </c>
      <c r="H221" s="1" t="s">
        <v>30</v>
      </c>
      <c r="I221" s="1">
        <v>18</v>
      </c>
      <c r="J221" s="1">
        <v>40</v>
      </c>
      <c r="K221" s="1">
        <v>0.04</v>
      </c>
      <c r="L221" s="1">
        <v>720</v>
      </c>
      <c r="M221" s="1">
        <v>691.2</v>
      </c>
      <c r="N221" s="1">
        <v>635.57000000000005</v>
      </c>
      <c r="O221" s="1">
        <v>1.0900000000000001</v>
      </c>
      <c r="P221" s="2" t="s">
        <v>73</v>
      </c>
      <c r="Q221" s="14" t="s">
        <v>22</v>
      </c>
    </row>
    <row r="222" spans="1:17" x14ac:dyDescent="0.45">
      <c r="A222" s="10">
        <v>46074</v>
      </c>
      <c r="B222" s="1" t="s">
        <v>293</v>
      </c>
      <c r="C222" s="1" t="s">
        <v>67</v>
      </c>
      <c r="D222" s="1" t="s">
        <v>15</v>
      </c>
      <c r="E222" s="1" t="s">
        <v>55</v>
      </c>
      <c r="F222" s="1" t="s">
        <v>60</v>
      </c>
      <c r="G222" s="1" t="s">
        <v>24</v>
      </c>
      <c r="H222" s="1" t="s">
        <v>35</v>
      </c>
      <c r="I222" s="1">
        <v>162</v>
      </c>
      <c r="J222" s="1">
        <v>30</v>
      </c>
      <c r="K222" s="1">
        <v>0.1</v>
      </c>
      <c r="L222" s="1">
        <v>4860</v>
      </c>
      <c r="M222" s="1">
        <v>4374</v>
      </c>
      <c r="N222" s="1">
        <v>4710.07</v>
      </c>
      <c r="O222" s="1">
        <v>0.93</v>
      </c>
      <c r="P222" s="2" t="s">
        <v>73</v>
      </c>
      <c r="Q222" s="13" t="s">
        <v>22</v>
      </c>
    </row>
    <row r="223" spans="1:17" x14ac:dyDescent="0.45">
      <c r="A223" s="10">
        <v>46069</v>
      </c>
      <c r="B223" s="1" t="s">
        <v>294</v>
      </c>
      <c r="C223" s="1" t="s">
        <v>58</v>
      </c>
      <c r="D223" s="1" t="s">
        <v>21</v>
      </c>
      <c r="E223" s="1" t="s">
        <v>80</v>
      </c>
      <c r="F223" s="1" t="s">
        <v>56</v>
      </c>
      <c r="G223" s="1" t="s">
        <v>24</v>
      </c>
      <c r="H223" s="1" t="s">
        <v>30</v>
      </c>
      <c r="I223" s="1">
        <v>118</v>
      </c>
      <c r="J223" s="1">
        <v>40</v>
      </c>
      <c r="K223" s="1">
        <v>0.01</v>
      </c>
      <c r="L223" s="1">
        <v>4720</v>
      </c>
      <c r="M223" s="1">
        <v>4672.8</v>
      </c>
      <c r="N223" s="1">
        <v>4365.6899999999996</v>
      </c>
      <c r="O223" s="1">
        <v>1.07</v>
      </c>
      <c r="P223" s="2" t="s">
        <v>52</v>
      </c>
      <c r="Q223" s="14" t="s">
        <v>22</v>
      </c>
    </row>
    <row r="224" spans="1:17" x14ac:dyDescent="0.45">
      <c r="A224" s="10">
        <v>46159</v>
      </c>
      <c r="B224" s="1" t="s">
        <v>295</v>
      </c>
      <c r="C224" s="1" t="s">
        <v>49</v>
      </c>
      <c r="D224" s="1" t="s">
        <v>15</v>
      </c>
      <c r="E224" s="1" t="s">
        <v>62</v>
      </c>
      <c r="F224" s="1" t="s">
        <v>56</v>
      </c>
      <c r="G224" s="1" t="s">
        <v>20</v>
      </c>
      <c r="H224" s="1" t="s">
        <v>23</v>
      </c>
      <c r="I224" s="1">
        <v>155</v>
      </c>
      <c r="J224" s="1">
        <v>180</v>
      </c>
      <c r="K224" s="1">
        <v>0.1</v>
      </c>
      <c r="L224" s="1">
        <v>27900</v>
      </c>
      <c r="M224" s="1">
        <v>25110</v>
      </c>
      <c r="N224" s="1">
        <v>29858.42</v>
      </c>
      <c r="O224" s="1">
        <v>0.84</v>
      </c>
      <c r="P224" s="2" t="s">
        <v>52</v>
      </c>
      <c r="Q224" s="13" t="s">
        <v>32</v>
      </c>
    </row>
    <row r="225" spans="1:17" x14ac:dyDescent="0.45">
      <c r="A225" s="10">
        <v>46132</v>
      </c>
      <c r="B225" s="1" t="s">
        <v>296</v>
      </c>
      <c r="C225" s="1" t="s">
        <v>54</v>
      </c>
      <c r="D225" s="1" t="s">
        <v>25</v>
      </c>
      <c r="E225" s="1" t="s">
        <v>98</v>
      </c>
      <c r="F225" s="1" t="s">
        <v>51</v>
      </c>
      <c r="G225" s="1" t="s">
        <v>24</v>
      </c>
      <c r="H225" s="1" t="s">
        <v>35</v>
      </c>
      <c r="I225" s="1">
        <v>167</v>
      </c>
      <c r="J225" s="1">
        <v>30</v>
      </c>
      <c r="K225" s="1">
        <v>0</v>
      </c>
      <c r="L225" s="1">
        <v>5010</v>
      </c>
      <c r="M225" s="1">
        <v>5010</v>
      </c>
      <c r="N225" s="1">
        <v>5793.1</v>
      </c>
      <c r="O225" s="1">
        <v>0.86</v>
      </c>
      <c r="P225" s="2" t="s">
        <v>52</v>
      </c>
      <c r="Q225" s="14" t="s">
        <v>29</v>
      </c>
    </row>
    <row r="226" spans="1:17" x14ac:dyDescent="0.45">
      <c r="A226" s="10">
        <v>46061</v>
      </c>
      <c r="B226" s="1" t="s">
        <v>297</v>
      </c>
      <c r="C226" s="1" t="s">
        <v>49</v>
      </c>
      <c r="D226" s="1" t="s">
        <v>25</v>
      </c>
      <c r="E226" s="1" t="s">
        <v>98</v>
      </c>
      <c r="F226" s="1" t="s">
        <v>95</v>
      </c>
      <c r="G226" s="1" t="s">
        <v>24</v>
      </c>
      <c r="H226" s="1" t="s">
        <v>35</v>
      </c>
      <c r="I226" s="1">
        <v>146</v>
      </c>
      <c r="J226" s="1">
        <v>30</v>
      </c>
      <c r="K226" s="1">
        <v>0.09</v>
      </c>
      <c r="L226" s="1">
        <v>4380</v>
      </c>
      <c r="M226" s="1">
        <v>3985.8</v>
      </c>
      <c r="N226" s="1">
        <v>4251.21</v>
      </c>
      <c r="O226" s="1">
        <v>0.94</v>
      </c>
      <c r="P226" s="2" t="s">
        <v>73</v>
      </c>
      <c r="Q226" s="13" t="s">
        <v>22</v>
      </c>
    </row>
    <row r="227" spans="1:17" x14ac:dyDescent="0.45">
      <c r="A227" s="10">
        <v>46156</v>
      </c>
      <c r="B227" s="1" t="s">
        <v>298</v>
      </c>
      <c r="C227" s="1" t="s">
        <v>64</v>
      </c>
      <c r="D227" s="1" t="s">
        <v>15</v>
      </c>
      <c r="E227" s="1" t="s">
        <v>55</v>
      </c>
      <c r="F227" s="1" t="s">
        <v>95</v>
      </c>
      <c r="G227" s="1" t="s">
        <v>24</v>
      </c>
      <c r="H227" s="1" t="s">
        <v>30</v>
      </c>
      <c r="I227" s="1">
        <v>45</v>
      </c>
      <c r="J227" s="1">
        <v>40</v>
      </c>
      <c r="K227" s="1">
        <v>0.12</v>
      </c>
      <c r="L227" s="1">
        <v>1800</v>
      </c>
      <c r="M227" s="1">
        <v>1584</v>
      </c>
      <c r="N227" s="1">
        <v>1867.64</v>
      </c>
      <c r="O227" s="1">
        <v>0.85</v>
      </c>
      <c r="P227" s="2" t="s">
        <v>52</v>
      </c>
      <c r="Q227" s="14" t="s">
        <v>32</v>
      </c>
    </row>
    <row r="228" spans="1:17" x14ac:dyDescent="0.45">
      <c r="A228" s="10">
        <v>46092</v>
      </c>
      <c r="B228" s="1" t="s">
        <v>299</v>
      </c>
      <c r="C228" s="1" t="s">
        <v>54</v>
      </c>
      <c r="D228" s="1" t="s">
        <v>28</v>
      </c>
      <c r="E228" s="1" t="s">
        <v>82</v>
      </c>
      <c r="F228" s="1" t="s">
        <v>78</v>
      </c>
      <c r="G228" s="1" t="s">
        <v>20</v>
      </c>
      <c r="H228" s="1" t="s">
        <v>33</v>
      </c>
      <c r="I228" s="1">
        <v>80</v>
      </c>
      <c r="J228" s="1">
        <v>35</v>
      </c>
      <c r="K228" s="1">
        <v>7.0000000000000007E-2</v>
      </c>
      <c r="L228" s="1">
        <v>2800</v>
      </c>
      <c r="M228" s="1">
        <v>2604</v>
      </c>
      <c r="N228" s="1">
        <v>2618.14</v>
      </c>
      <c r="O228" s="1">
        <v>0.99</v>
      </c>
      <c r="P228" s="2" t="s">
        <v>73</v>
      </c>
      <c r="Q228" s="13" t="s">
        <v>26</v>
      </c>
    </row>
    <row r="229" spans="1:17" x14ac:dyDescent="0.45">
      <c r="A229" s="10">
        <v>46029</v>
      </c>
      <c r="B229" s="1" t="s">
        <v>300</v>
      </c>
      <c r="C229" s="1" t="s">
        <v>67</v>
      </c>
      <c r="D229" s="1" t="s">
        <v>15</v>
      </c>
      <c r="E229" s="1" t="s">
        <v>55</v>
      </c>
      <c r="F229" s="1" t="s">
        <v>60</v>
      </c>
      <c r="G229" s="1" t="s">
        <v>14</v>
      </c>
      <c r="H229" s="1" t="s">
        <v>27</v>
      </c>
      <c r="I229" s="1">
        <v>75</v>
      </c>
      <c r="J229" s="1">
        <v>120</v>
      </c>
      <c r="K229" s="1">
        <v>0.14000000000000001</v>
      </c>
      <c r="L229" s="1">
        <v>9000</v>
      </c>
      <c r="M229" s="1">
        <v>7740</v>
      </c>
      <c r="N229" s="1">
        <v>9287.4599999999991</v>
      </c>
      <c r="O229" s="1">
        <v>0.83</v>
      </c>
      <c r="P229" s="2" t="s">
        <v>52</v>
      </c>
      <c r="Q229" s="14" t="s">
        <v>16</v>
      </c>
    </row>
    <row r="230" spans="1:17" x14ac:dyDescent="0.45">
      <c r="A230" s="10">
        <v>46045</v>
      </c>
      <c r="B230" s="1" t="s">
        <v>301</v>
      </c>
      <c r="C230" s="1" t="s">
        <v>49</v>
      </c>
      <c r="D230" s="1" t="s">
        <v>25</v>
      </c>
      <c r="E230" s="1" t="s">
        <v>68</v>
      </c>
      <c r="F230" s="1" t="s">
        <v>51</v>
      </c>
      <c r="G230" s="1" t="s">
        <v>20</v>
      </c>
      <c r="H230" s="1" t="s">
        <v>33</v>
      </c>
      <c r="I230" s="1">
        <v>6</v>
      </c>
      <c r="J230" s="1">
        <v>35</v>
      </c>
      <c r="K230" s="1">
        <v>0.04</v>
      </c>
      <c r="L230" s="1">
        <v>210</v>
      </c>
      <c r="M230" s="1">
        <v>201.6</v>
      </c>
      <c r="N230" s="1">
        <v>184.13</v>
      </c>
      <c r="O230" s="1">
        <v>1.0900000000000001</v>
      </c>
      <c r="P230" s="2" t="s">
        <v>52</v>
      </c>
      <c r="Q230" s="13" t="s">
        <v>16</v>
      </c>
    </row>
    <row r="231" spans="1:17" x14ac:dyDescent="0.45">
      <c r="A231" s="10">
        <v>46113</v>
      </c>
      <c r="B231" s="1" t="s">
        <v>302</v>
      </c>
      <c r="C231" s="1" t="s">
        <v>58</v>
      </c>
      <c r="D231" s="1" t="s">
        <v>15</v>
      </c>
      <c r="E231" s="1" t="s">
        <v>62</v>
      </c>
      <c r="F231" s="1" t="s">
        <v>51</v>
      </c>
      <c r="G231" s="1" t="s">
        <v>20</v>
      </c>
      <c r="H231" s="1" t="s">
        <v>33</v>
      </c>
      <c r="I231" s="1">
        <v>95</v>
      </c>
      <c r="J231" s="1">
        <v>35</v>
      </c>
      <c r="K231" s="1">
        <v>0.05</v>
      </c>
      <c r="L231" s="1">
        <v>3325</v>
      </c>
      <c r="M231" s="1">
        <v>3158.75</v>
      </c>
      <c r="N231" s="1">
        <v>2816.31</v>
      </c>
      <c r="O231" s="1">
        <v>1.1200000000000001</v>
      </c>
      <c r="P231" s="2" t="s">
        <v>52</v>
      </c>
      <c r="Q231" s="14" t="s">
        <v>29</v>
      </c>
    </row>
    <row r="232" spans="1:17" x14ac:dyDescent="0.45">
      <c r="A232" s="10">
        <v>46023</v>
      </c>
      <c r="B232" s="1" t="s">
        <v>303</v>
      </c>
      <c r="C232" s="1" t="s">
        <v>64</v>
      </c>
      <c r="D232" s="1" t="s">
        <v>25</v>
      </c>
      <c r="E232" s="1" t="s">
        <v>104</v>
      </c>
      <c r="F232" s="1" t="s">
        <v>78</v>
      </c>
      <c r="G232" s="1" t="s">
        <v>20</v>
      </c>
      <c r="H232" s="1" t="s">
        <v>33</v>
      </c>
      <c r="I232" s="1">
        <v>37</v>
      </c>
      <c r="J232" s="1">
        <v>35</v>
      </c>
      <c r="K232" s="1">
        <v>0.1</v>
      </c>
      <c r="L232" s="1">
        <v>1295</v>
      </c>
      <c r="M232" s="1">
        <v>1165.5</v>
      </c>
      <c r="N232" s="1">
        <v>976.66</v>
      </c>
      <c r="O232" s="1">
        <v>1.19</v>
      </c>
      <c r="P232" s="2" t="s">
        <v>52</v>
      </c>
      <c r="Q232" s="13" t="s">
        <v>16</v>
      </c>
    </row>
    <row r="233" spans="1:17" x14ac:dyDescent="0.45">
      <c r="A233" s="10">
        <v>46093</v>
      </c>
      <c r="B233" s="1" t="s">
        <v>304</v>
      </c>
      <c r="C233" s="1" t="s">
        <v>58</v>
      </c>
      <c r="D233" s="1" t="s">
        <v>28</v>
      </c>
      <c r="E233" s="1" t="s">
        <v>70</v>
      </c>
      <c r="F233" s="1" t="s">
        <v>60</v>
      </c>
      <c r="G233" s="1" t="s">
        <v>24</v>
      </c>
      <c r="H233" s="1" t="s">
        <v>30</v>
      </c>
      <c r="I233" s="1">
        <v>175</v>
      </c>
      <c r="J233" s="1">
        <v>40</v>
      </c>
      <c r="K233" s="1">
        <v>0.12</v>
      </c>
      <c r="L233" s="1">
        <v>7000</v>
      </c>
      <c r="M233" s="1">
        <v>6160</v>
      </c>
      <c r="N233" s="1">
        <v>6531.76</v>
      </c>
      <c r="O233" s="1">
        <v>0.94</v>
      </c>
      <c r="P233" s="2" t="s">
        <v>52</v>
      </c>
      <c r="Q233" s="14" t="s">
        <v>26</v>
      </c>
    </row>
    <row r="234" spans="1:17" x14ac:dyDescent="0.45">
      <c r="A234" s="10">
        <v>46031</v>
      </c>
      <c r="B234" s="1" t="s">
        <v>305</v>
      </c>
      <c r="C234" s="1" t="s">
        <v>64</v>
      </c>
      <c r="D234" s="1" t="s">
        <v>25</v>
      </c>
      <c r="E234" s="1" t="s">
        <v>104</v>
      </c>
      <c r="F234" s="1" t="s">
        <v>95</v>
      </c>
      <c r="G234" s="1" t="s">
        <v>14</v>
      </c>
      <c r="H234" s="1" t="s">
        <v>18</v>
      </c>
      <c r="I234" s="1">
        <v>141</v>
      </c>
      <c r="J234" s="1">
        <v>250</v>
      </c>
      <c r="K234" s="1">
        <v>0.01</v>
      </c>
      <c r="L234" s="1">
        <v>35250</v>
      </c>
      <c r="M234" s="1">
        <v>34897.5</v>
      </c>
      <c r="N234" s="1">
        <v>36507.339999999997</v>
      </c>
      <c r="O234" s="1">
        <v>0.96</v>
      </c>
      <c r="P234" s="2" t="s">
        <v>52</v>
      </c>
      <c r="Q234" s="13" t="s">
        <v>16</v>
      </c>
    </row>
    <row r="235" spans="1:17" x14ac:dyDescent="0.45">
      <c r="A235" s="10">
        <v>46113</v>
      </c>
      <c r="B235" s="1" t="s">
        <v>306</v>
      </c>
      <c r="C235" s="1" t="s">
        <v>75</v>
      </c>
      <c r="D235" s="1" t="s">
        <v>28</v>
      </c>
      <c r="E235" s="1" t="s">
        <v>70</v>
      </c>
      <c r="F235" s="1" t="s">
        <v>95</v>
      </c>
      <c r="G235" s="1" t="s">
        <v>20</v>
      </c>
      <c r="H235" s="1" t="s">
        <v>33</v>
      </c>
      <c r="I235" s="1">
        <v>38</v>
      </c>
      <c r="J235" s="1">
        <v>35</v>
      </c>
      <c r="K235" s="1">
        <v>0.13</v>
      </c>
      <c r="L235" s="1">
        <v>1330</v>
      </c>
      <c r="M235" s="1">
        <v>1157.0999999999999</v>
      </c>
      <c r="N235" s="1">
        <v>1086.05</v>
      </c>
      <c r="O235" s="1">
        <v>1.07</v>
      </c>
      <c r="P235" s="2" t="s">
        <v>73</v>
      </c>
      <c r="Q235" s="14" t="s">
        <v>29</v>
      </c>
    </row>
    <row r="236" spans="1:17" x14ac:dyDescent="0.45">
      <c r="A236" s="10">
        <v>46103</v>
      </c>
      <c r="B236" s="1" t="s">
        <v>307</v>
      </c>
      <c r="C236" s="1" t="s">
        <v>67</v>
      </c>
      <c r="D236" s="1" t="s">
        <v>28</v>
      </c>
      <c r="E236" s="1" t="s">
        <v>70</v>
      </c>
      <c r="F236" s="1" t="s">
        <v>51</v>
      </c>
      <c r="G236" s="1" t="s">
        <v>14</v>
      </c>
      <c r="H236" s="1" t="s">
        <v>18</v>
      </c>
      <c r="I236" s="1">
        <v>141</v>
      </c>
      <c r="J236" s="1">
        <v>250</v>
      </c>
      <c r="K236" s="1">
        <v>0.14000000000000001</v>
      </c>
      <c r="L236" s="1">
        <v>35250</v>
      </c>
      <c r="M236" s="1">
        <v>30315</v>
      </c>
      <c r="N236" s="1">
        <v>32339.8</v>
      </c>
      <c r="O236" s="1">
        <v>0.94</v>
      </c>
      <c r="P236" s="2" t="s">
        <v>52</v>
      </c>
      <c r="Q236" s="13" t="s">
        <v>26</v>
      </c>
    </row>
    <row r="237" spans="1:17" x14ac:dyDescent="0.45">
      <c r="A237" s="10">
        <v>46041</v>
      </c>
      <c r="B237" s="1" t="s">
        <v>308</v>
      </c>
      <c r="C237" s="1" t="s">
        <v>67</v>
      </c>
      <c r="D237" s="1" t="s">
        <v>28</v>
      </c>
      <c r="E237" s="1" t="s">
        <v>70</v>
      </c>
      <c r="F237" s="1" t="s">
        <v>51</v>
      </c>
      <c r="G237" s="1" t="s">
        <v>14</v>
      </c>
      <c r="H237" s="1" t="s">
        <v>18</v>
      </c>
      <c r="I237" s="1">
        <v>78</v>
      </c>
      <c r="J237" s="1">
        <v>250</v>
      </c>
      <c r="K237" s="1">
        <v>0.13</v>
      </c>
      <c r="L237" s="1">
        <v>19500</v>
      </c>
      <c r="M237" s="1">
        <v>16965</v>
      </c>
      <c r="N237" s="1">
        <v>17902.96</v>
      </c>
      <c r="O237" s="1">
        <v>0.95</v>
      </c>
      <c r="P237" s="2" t="s">
        <v>52</v>
      </c>
      <c r="Q237" s="14" t="s">
        <v>16</v>
      </c>
    </row>
    <row r="238" spans="1:17" x14ac:dyDescent="0.45">
      <c r="A238" s="10">
        <v>46180</v>
      </c>
      <c r="B238" s="1" t="s">
        <v>309</v>
      </c>
      <c r="C238" s="1" t="s">
        <v>64</v>
      </c>
      <c r="D238" s="1" t="s">
        <v>25</v>
      </c>
      <c r="E238" s="1" t="s">
        <v>68</v>
      </c>
      <c r="F238" s="1" t="s">
        <v>51</v>
      </c>
      <c r="G238" s="1" t="s">
        <v>14</v>
      </c>
      <c r="H238" s="1" t="s">
        <v>27</v>
      </c>
      <c r="I238" s="1">
        <v>195</v>
      </c>
      <c r="J238" s="1">
        <v>120</v>
      </c>
      <c r="K238" s="1">
        <v>0.05</v>
      </c>
      <c r="L238" s="1">
        <v>23400</v>
      </c>
      <c r="M238" s="1">
        <v>22230</v>
      </c>
      <c r="N238" s="1">
        <v>22888.66</v>
      </c>
      <c r="O238" s="1">
        <v>0.97</v>
      </c>
      <c r="P238" s="2" t="s">
        <v>52</v>
      </c>
      <c r="Q238" s="13" t="s">
        <v>34</v>
      </c>
    </row>
    <row r="239" spans="1:17" x14ac:dyDescent="0.45">
      <c r="A239" s="10">
        <v>46173</v>
      </c>
      <c r="B239" s="1" t="s">
        <v>310</v>
      </c>
      <c r="C239" s="1" t="s">
        <v>67</v>
      </c>
      <c r="D239" s="1" t="s">
        <v>15</v>
      </c>
      <c r="E239" s="1" t="s">
        <v>62</v>
      </c>
      <c r="F239" s="1" t="s">
        <v>60</v>
      </c>
      <c r="G239" s="1" t="s">
        <v>14</v>
      </c>
      <c r="H239" s="1" t="s">
        <v>18</v>
      </c>
      <c r="I239" s="1">
        <v>139</v>
      </c>
      <c r="J239" s="1">
        <v>250</v>
      </c>
      <c r="K239" s="1">
        <v>0.04</v>
      </c>
      <c r="L239" s="1">
        <v>34750</v>
      </c>
      <c r="M239" s="1">
        <v>33360</v>
      </c>
      <c r="N239" s="1">
        <v>38241.71</v>
      </c>
      <c r="O239" s="1">
        <v>0.87</v>
      </c>
      <c r="P239" s="2" t="s">
        <v>52</v>
      </c>
      <c r="Q239" s="14" t="s">
        <v>32</v>
      </c>
    </row>
    <row r="240" spans="1:17" x14ac:dyDescent="0.45">
      <c r="A240" s="10">
        <v>46201</v>
      </c>
      <c r="B240" s="1" t="s">
        <v>311</v>
      </c>
      <c r="C240" s="1" t="s">
        <v>67</v>
      </c>
      <c r="D240" s="1" t="s">
        <v>21</v>
      </c>
      <c r="E240" s="1" t="s">
        <v>50</v>
      </c>
      <c r="F240" s="1" t="s">
        <v>60</v>
      </c>
      <c r="G240" s="1" t="s">
        <v>20</v>
      </c>
      <c r="H240" s="1" t="s">
        <v>33</v>
      </c>
      <c r="I240" s="1">
        <v>91</v>
      </c>
      <c r="J240" s="1">
        <v>35</v>
      </c>
      <c r="K240" s="1">
        <v>0.14000000000000001</v>
      </c>
      <c r="L240" s="1">
        <v>3185</v>
      </c>
      <c r="M240" s="1">
        <v>2739.1</v>
      </c>
      <c r="N240" s="1">
        <v>2278.52</v>
      </c>
      <c r="O240" s="1">
        <v>1.2</v>
      </c>
      <c r="P240" s="2" t="s">
        <v>73</v>
      </c>
      <c r="Q240" s="13" t="s">
        <v>34</v>
      </c>
    </row>
    <row r="241" spans="1:17" x14ac:dyDescent="0.45">
      <c r="A241" s="10">
        <v>46155</v>
      </c>
      <c r="B241" s="1" t="s">
        <v>312</v>
      </c>
      <c r="C241" s="1" t="s">
        <v>49</v>
      </c>
      <c r="D241" s="1" t="s">
        <v>25</v>
      </c>
      <c r="E241" s="1" t="s">
        <v>98</v>
      </c>
      <c r="F241" s="1" t="s">
        <v>71</v>
      </c>
      <c r="G241" s="1" t="s">
        <v>20</v>
      </c>
      <c r="H241" s="1" t="s">
        <v>33</v>
      </c>
      <c r="I241" s="1">
        <v>121</v>
      </c>
      <c r="J241" s="1">
        <v>35</v>
      </c>
      <c r="K241" s="1">
        <v>0.12</v>
      </c>
      <c r="L241" s="1">
        <v>4235</v>
      </c>
      <c r="M241" s="1">
        <v>3726.8</v>
      </c>
      <c r="N241" s="1">
        <v>3219.57</v>
      </c>
      <c r="O241" s="1">
        <v>1.1599999999999999</v>
      </c>
      <c r="P241" s="2" t="s">
        <v>52</v>
      </c>
      <c r="Q241" s="14" t="s">
        <v>32</v>
      </c>
    </row>
    <row r="242" spans="1:17" x14ac:dyDescent="0.45">
      <c r="A242" s="10">
        <v>46191</v>
      </c>
      <c r="B242" s="1" t="s">
        <v>313</v>
      </c>
      <c r="C242" s="1" t="s">
        <v>49</v>
      </c>
      <c r="D242" s="1" t="s">
        <v>15</v>
      </c>
      <c r="E242" s="1" t="s">
        <v>62</v>
      </c>
      <c r="F242" s="1" t="s">
        <v>56</v>
      </c>
      <c r="G242" s="1" t="s">
        <v>20</v>
      </c>
      <c r="H242" s="1" t="s">
        <v>33</v>
      </c>
      <c r="I242" s="1">
        <v>46</v>
      </c>
      <c r="J242" s="1">
        <v>35</v>
      </c>
      <c r="K242" s="1">
        <v>0.03</v>
      </c>
      <c r="L242" s="1">
        <v>1610</v>
      </c>
      <c r="M242" s="1">
        <v>1561.7</v>
      </c>
      <c r="N242" s="1">
        <v>1360.91</v>
      </c>
      <c r="O242" s="1">
        <v>1.1499999999999999</v>
      </c>
      <c r="P242" s="2" t="s">
        <v>73</v>
      </c>
      <c r="Q242" s="13" t="s">
        <v>34</v>
      </c>
    </row>
    <row r="243" spans="1:17" x14ac:dyDescent="0.45">
      <c r="A243" s="10">
        <v>46056</v>
      </c>
      <c r="B243" s="1" t="s">
        <v>314</v>
      </c>
      <c r="C243" s="1" t="s">
        <v>75</v>
      </c>
      <c r="D243" s="1" t="s">
        <v>28</v>
      </c>
      <c r="E243" s="1" t="s">
        <v>59</v>
      </c>
      <c r="F243" s="1" t="s">
        <v>51</v>
      </c>
      <c r="G243" s="1" t="s">
        <v>24</v>
      </c>
      <c r="H243" s="1" t="s">
        <v>30</v>
      </c>
      <c r="I243" s="1">
        <v>125</v>
      </c>
      <c r="J243" s="1">
        <v>40</v>
      </c>
      <c r="K243" s="1">
        <v>7.0000000000000007E-2</v>
      </c>
      <c r="L243" s="1">
        <v>5000</v>
      </c>
      <c r="M243" s="1">
        <v>4650</v>
      </c>
      <c r="N243" s="1">
        <v>4322.28</v>
      </c>
      <c r="O243" s="1">
        <v>1.08</v>
      </c>
      <c r="P243" s="2" t="s">
        <v>73</v>
      </c>
      <c r="Q243" s="14" t="s">
        <v>22</v>
      </c>
    </row>
    <row r="244" spans="1:17" x14ac:dyDescent="0.45">
      <c r="A244" s="10">
        <v>46203</v>
      </c>
      <c r="B244" s="1" t="s">
        <v>315</v>
      </c>
      <c r="C244" s="1" t="s">
        <v>58</v>
      </c>
      <c r="D244" s="1" t="s">
        <v>25</v>
      </c>
      <c r="E244" s="1" t="s">
        <v>104</v>
      </c>
      <c r="F244" s="1" t="s">
        <v>60</v>
      </c>
      <c r="G244" s="1" t="s">
        <v>14</v>
      </c>
      <c r="H244" s="1" t="s">
        <v>27</v>
      </c>
      <c r="I244" s="1">
        <v>90</v>
      </c>
      <c r="J244" s="1">
        <v>120</v>
      </c>
      <c r="K244" s="1">
        <v>0.13</v>
      </c>
      <c r="L244" s="1">
        <v>10800</v>
      </c>
      <c r="M244" s="1">
        <v>9396</v>
      </c>
      <c r="N244" s="1">
        <v>8604.5400000000009</v>
      </c>
      <c r="O244" s="1">
        <v>1.0900000000000001</v>
      </c>
      <c r="P244" s="2" t="s">
        <v>73</v>
      </c>
      <c r="Q244" s="13" t="s">
        <v>34</v>
      </c>
    </row>
    <row r="245" spans="1:17" x14ac:dyDescent="0.45">
      <c r="A245" s="10">
        <v>46116</v>
      </c>
      <c r="B245" s="1" t="s">
        <v>316</v>
      </c>
      <c r="C245" s="1" t="s">
        <v>67</v>
      </c>
      <c r="D245" s="1" t="s">
        <v>15</v>
      </c>
      <c r="E245" s="1" t="s">
        <v>62</v>
      </c>
      <c r="F245" s="1" t="s">
        <v>71</v>
      </c>
      <c r="G245" s="1" t="s">
        <v>20</v>
      </c>
      <c r="H245" s="1" t="s">
        <v>33</v>
      </c>
      <c r="I245" s="1">
        <v>11</v>
      </c>
      <c r="J245" s="1">
        <v>35</v>
      </c>
      <c r="K245" s="1">
        <v>0.11</v>
      </c>
      <c r="L245" s="1">
        <v>385</v>
      </c>
      <c r="M245" s="1">
        <v>342.65</v>
      </c>
      <c r="N245" s="1">
        <v>325.73</v>
      </c>
      <c r="O245" s="1">
        <v>1.05</v>
      </c>
      <c r="P245" s="2" t="s">
        <v>52</v>
      </c>
      <c r="Q245" s="14" t="s">
        <v>29</v>
      </c>
    </row>
    <row r="246" spans="1:17" x14ac:dyDescent="0.45">
      <c r="A246" s="10">
        <v>46202</v>
      </c>
      <c r="B246" s="1" t="s">
        <v>317</v>
      </c>
      <c r="C246" s="1" t="s">
        <v>64</v>
      </c>
      <c r="D246" s="1" t="s">
        <v>25</v>
      </c>
      <c r="E246" s="1" t="s">
        <v>68</v>
      </c>
      <c r="F246" s="1" t="s">
        <v>95</v>
      </c>
      <c r="G246" s="1" t="s">
        <v>24</v>
      </c>
      <c r="H246" s="1" t="s">
        <v>35</v>
      </c>
      <c r="I246" s="1">
        <v>96</v>
      </c>
      <c r="J246" s="1">
        <v>30</v>
      </c>
      <c r="K246" s="1">
        <v>0.06</v>
      </c>
      <c r="L246" s="1">
        <v>2880</v>
      </c>
      <c r="M246" s="1">
        <v>2707.2</v>
      </c>
      <c r="N246" s="1">
        <v>2891.85</v>
      </c>
      <c r="O246" s="1">
        <v>0.94</v>
      </c>
      <c r="P246" s="2" t="s">
        <v>52</v>
      </c>
      <c r="Q246" s="13" t="s">
        <v>34</v>
      </c>
    </row>
    <row r="247" spans="1:17" x14ac:dyDescent="0.45">
      <c r="A247" s="10">
        <v>46129</v>
      </c>
      <c r="B247" s="1" t="s">
        <v>318</v>
      </c>
      <c r="C247" s="1" t="s">
        <v>54</v>
      </c>
      <c r="D247" s="1" t="s">
        <v>15</v>
      </c>
      <c r="E247" s="1" t="s">
        <v>55</v>
      </c>
      <c r="F247" s="1" t="s">
        <v>56</v>
      </c>
      <c r="G247" s="1" t="s">
        <v>24</v>
      </c>
      <c r="H247" s="1" t="s">
        <v>30</v>
      </c>
      <c r="I247" s="1">
        <v>102</v>
      </c>
      <c r="J247" s="1">
        <v>40</v>
      </c>
      <c r="K247" s="1">
        <v>7.0000000000000007E-2</v>
      </c>
      <c r="L247" s="1">
        <v>4080</v>
      </c>
      <c r="M247" s="1">
        <v>3794.4</v>
      </c>
      <c r="N247" s="1">
        <v>3523.75</v>
      </c>
      <c r="O247" s="1">
        <v>1.08</v>
      </c>
      <c r="P247" s="2" t="s">
        <v>52</v>
      </c>
      <c r="Q247" s="14" t="s">
        <v>29</v>
      </c>
    </row>
    <row r="248" spans="1:17" x14ac:dyDescent="0.45">
      <c r="A248" s="10">
        <v>46141</v>
      </c>
      <c r="B248" s="1" t="s">
        <v>319</v>
      </c>
      <c r="C248" s="1" t="s">
        <v>64</v>
      </c>
      <c r="D248" s="1" t="s">
        <v>15</v>
      </c>
      <c r="E248" s="1" t="s">
        <v>62</v>
      </c>
      <c r="F248" s="1" t="s">
        <v>56</v>
      </c>
      <c r="G248" s="1" t="s">
        <v>24</v>
      </c>
      <c r="H248" s="1" t="s">
        <v>35</v>
      </c>
      <c r="I248" s="1">
        <v>162</v>
      </c>
      <c r="J248" s="1">
        <v>30</v>
      </c>
      <c r="K248" s="1">
        <v>0.14000000000000001</v>
      </c>
      <c r="L248" s="1">
        <v>4860</v>
      </c>
      <c r="M248" s="1">
        <v>4179.6000000000004</v>
      </c>
      <c r="N248" s="1">
        <v>4096.5</v>
      </c>
      <c r="O248" s="1">
        <v>1.02</v>
      </c>
      <c r="P248" s="2" t="s">
        <v>73</v>
      </c>
      <c r="Q248" s="13" t="s">
        <v>29</v>
      </c>
    </row>
    <row r="249" spans="1:17" x14ac:dyDescent="0.45">
      <c r="A249" s="10">
        <v>46076</v>
      </c>
      <c r="B249" s="1" t="s">
        <v>320</v>
      </c>
      <c r="C249" s="1" t="s">
        <v>67</v>
      </c>
      <c r="D249" s="1" t="s">
        <v>25</v>
      </c>
      <c r="E249" s="1" t="s">
        <v>98</v>
      </c>
      <c r="F249" s="1" t="s">
        <v>95</v>
      </c>
      <c r="G249" s="1" t="s">
        <v>24</v>
      </c>
      <c r="H249" s="1" t="s">
        <v>35</v>
      </c>
      <c r="I249" s="1">
        <v>38</v>
      </c>
      <c r="J249" s="1">
        <v>30</v>
      </c>
      <c r="K249" s="1">
        <v>0.05</v>
      </c>
      <c r="L249" s="1">
        <v>1140</v>
      </c>
      <c r="M249" s="1">
        <v>1083</v>
      </c>
      <c r="N249" s="1">
        <v>1212.29</v>
      </c>
      <c r="O249" s="1">
        <v>0.89</v>
      </c>
      <c r="P249" s="2" t="s">
        <v>73</v>
      </c>
      <c r="Q249" s="14" t="s">
        <v>22</v>
      </c>
    </row>
    <row r="250" spans="1:17" x14ac:dyDescent="0.45">
      <c r="A250" s="10">
        <v>46062</v>
      </c>
      <c r="B250" s="1" t="s">
        <v>321</v>
      </c>
      <c r="C250" s="1" t="s">
        <v>58</v>
      </c>
      <c r="D250" s="1" t="s">
        <v>15</v>
      </c>
      <c r="E250" s="1" t="s">
        <v>62</v>
      </c>
      <c r="F250" s="1" t="s">
        <v>95</v>
      </c>
      <c r="G250" s="1" t="s">
        <v>20</v>
      </c>
      <c r="H250" s="1" t="s">
        <v>33</v>
      </c>
      <c r="I250" s="1">
        <v>23</v>
      </c>
      <c r="J250" s="1">
        <v>35</v>
      </c>
      <c r="K250" s="1">
        <v>0.02</v>
      </c>
      <c r="L250" s="1">
        <v>805</v>
      </c>
      <c r="M250" s="1">
        <v>788.9</v>
      </c>
      <c r="N250" s="1">
        <v>938.25</v>
      </c>
      <c r="O250" s="1">
        <v>0.84</v>
      </c>
      <c r="P250" s="2" t="s">
        <v>73</v>
      </c>
      <c r="Q250" s="13" t="s">
        <v>22</v>
      </c>
    </row>
    <row r="251" spans="1:17" x14ac:dyDescent="0.45">
      <c r="A251" s="10">
        <v>46202</v>
      </c>
      <c r="B251" s="1" t="s">
        <v>322</v>
      </c>
      <c r="C251" s="1" t="s">
        <v>64</v>
      </c>
      <c r="D251" s="1" t="s">
        <v>15</v>
      </c>
      <c r="E251" s="1" t="s">
        <v>55</v>
      </c>
      <c r="F251" s="1" t="s">
        <v>51</v>
      </c>
      <c r="G251" s="1" t="s">
        <v>20</v>
      </c>
      <c r="H251" s="1" t="s">
        <v>23</v>
      </c>
      <c r="I251" s="1">
        <v>52</v>
      </c>
      <c r="J251" s="1">
        <v>180</v>
      </c>
      <c r="K251" s="1">
        <v>0.02</v>
      </c>
      <c r="L251" s="1">
        <v>9360</v>
      </c>
      <c r="M251" s="1">
        <v>9172.7999999999993</v>
      </c>
      <c r="N251" s="1">
        <v>8315.83</v>
      </c>
      <c r="O251" s="1">
        <v>1.1000000000000001</v>
      </c>
      <c r="P251" s="2" t="s">
        <v>73</v>
      </c>
      <c r="Q251" s="14" t="s">
        <v>34</v>
      </c>
    </row>
    <row r="252" spans="1:17" x14ac:dyDescent="0.45">
      <c r="A252" s="10">
        <v>46115</v>
      </c>
      <c r="B252" s="1" t="s">
        <v>323</v>
      </c>
      <c r="C252" s="1" t="s">
        <v>54</v>
      </c>
      <c r="D252" s="1" t="s">
        <v>15</v>
      </c>
      <c r="E252" s="1" t="s">
        <v>55</v>
      </c>
      <c r="F252" s="1" t="s">
        <v>56</v>
      </c>
      <c r="G252" s="1" t="s">
        <v>24</v>
      </c>
      <c r="H252" s="1" t="s">
        <v>30</v>
      </c>
      <c r="I252" s="1">
        <v>86</v>
      </c>
      <c r="J252" s="1">
        <v>40</v>
      </c>
      <c r="K252" s="1">
        <v>0.02</v>
      </c>
      <c r="L252" s="1">
        <v>3440</v>
      </c>
      <c r="M252" s="1">
        <v>3371.2</v>
      </c>
      <c r="N252" s="1">
        <v>3332.8</v>
      </c>
      <c r="O252" s="1">
        <v>1.01</v>
      </c>
      <c r="P252" s="2" t="s">
        <v>52</v>
      </c>
      <c r="Q252" s="13" t="s">
        <v>29</v>
      </c>
    </row>
    <row r="253" spans="1:17" x14ac:dyDescent="0.45">
      <c r="A253" s="10">
        <v>46035</v>
      </c>
      <c r="B253" s="1" t="s">
        <v>324</v>
      </c>
      <c r="C253" s="1" t="s">
        <v>67</v>
      </c>
      <c r="D253" s="1" t="s">
        <v>28</v>
      </c>
      <c r="E253" s="1" t="s">
        <v>65</v>
      </c>
      <c r="F253" s="1" t="s">
        <v>56</v>
      </c>
      <c r="G253" s="1" t="s">
        <v>14</v>
      </c>
      <c r="H253" s="1" t="s">
        <v>18</v>
      </c>
      <c r="I253" s="1">
        <v>111</v>
      </c>
      <c r="J253" s="1">
        <v>250</v>
      </c>
      <c r="K253" s="1">
        <v>0.01</v>
      </c>
      <c r="L253" s="1">
        <v>27750</v>
      </c>
      <c r="M253" s="1">
        <v>27472.5</v>
      </c>
      <c r="N253" s="1">
        <v>28341.34</v>
      </c>
      <c r="O253" s="1">
        <v>0.97</v>
      </c>
      <c r="P253" s="2" t="s">
        <v>52</v>
      </c>
      <c r="Q253" s="14" t="s">
        <v>16</v>
      </c>
    </row>
    <row r="254" spans="1:17" x14ac:dyDescent="0.45">
      <c r="A254" s="10">
        <v>46048</v>
      </c>
      <c r="B254" s="1" t="s">
        <v>325</v>
      </c>
      <c r="C254" s="1" t="s">
        <v>64</v>
      </c>
      <c r="D254" s="1" t="s">
        <v>25</v>
      </c>
      <c r="E254" s="1" t="s">
        <v>98</v>
      </c>
      <c r="F254" s="1" t="s">
        <v>95</v>
      </c>
      <c r="G254" s="1" t="s">
        <v>24</v>
      </c>
      <c r="H254" s="1" t="s">
        <v>30</v>
      </c>
      <c r="I254" s="1">
        <v>63</v>
      </c>
      <c r="J254" s="1">
        <v>40</v>
      </c>
      <c r="K254" s="1">
        <v>0.06</v>
      </c>
      <c r="L254" s="1">
        <v>2520</v>
      </c>
      <c r="M254" s="1">
        <v>2368.8000000000002</v>
      </c>
      <c r="N254" s="1">
        <v>1940.69</v>
      </c>
      <c r="O254" s="1">
        <v>1.22</v>
      </c>
      <c r="P254" s="2" t="s">
        <v>52</v>
      </c>
      <c r="Q254" s="13" t="s">
        <v>16</v>
      </c>
    </row>
    <row r="255" spans="1:17" x14ac:dyDescent="0.45">
      <c r="A255" s="10">
        <v>46113</v>
      </c>
      <c r="B255" s="1" t="s">
        <v>326</v>
      </c>
      <c r="C255" s="1" t="s">
        <v>49</v>
      </c>
      <c r="D255" s="1" t="s">
        <v>25</v>
      </c>
      <c r="E255" s="1" t="s">
        <v>104</v>
      </c>
      <c r="F255" s="1" t="s">
        <v>95</v>
      </c>
      <c r="G255" s="1" t="s">
        <v>24</v>
      </c>
      <c r="H255" s="1" t="s">
        <v>35</v>
      </c>
      <c r="I255" s="1">
        <v>141</v>
      </c>
      <c r="J255" s="1">
        <v>30</v>
      </c>
      <c r="K255" s="1">
        <v>0.01</v>
      </c>
      <c r="L255" s="1">
        <v>4230</v>
      </c>
      <c r="M255" s="1">
        <v>4187.7</v>
      </c>
      <c r="N255" s="1">
        <v>4687.51</v>
      </c>
      <c r="O255" s="1">
        <v>0.89</v>
      </c>
      <c r="P255" s="2" t="s">
        <v>73</v>
      </c>
      <c r="Q255" s="14" t="s">
        <v>29</v>
      </c>
    </row>
    <row r="256" spans="1:17" x14ac:dyDescent="0.45">
      <c r="A256" s="10">
        <v>46062</v>
      </c>
      <c r="B256" s="1" t="s">
        <v>327</v>
      </c>
      <c r="C256" s="1" t="s">
        <v>58</v>
      </c>
      <c r="D256" s="1" t="s">
        <v>28</v>
      </c>
      <c r="E256" s="1" t="s">
        <v>70</v>
      </c>
      <c r="F256" s="1" t="s">
        <v>78</v>
      </c>
      <c r="G256" s="1" t="s">
        <v>20</v>
      </c>
      <c r="H256" s="1" t="s">
        <v>23</v>
      </c>
      <c r="I256" s="1">
        <v>100</v>
      </c>
      <c r="J256" s="1">
        <v>180</v>
      </c>
      <c r="K256" s="1">
        <v>0.12</v>
      </c>
      <c r="L256" s="1">
        <v>18000</v>
      </c>
      <c r="M256" s="1">
        <v>15840</v>
      </c>
      <c r="N256" s="1">
        <v>14398.88</v>
      </c>
      <c r="O256" s="1">
        <v>1.1000000000000001</v>
      </c>
      <c r="P256" s="2" t="s">
        <v>73</v>
      </c>
      <c r="Q256" s="13" t="s">
        <v>22</v>
      </c>
    </row>
    <row r="257" spans="1:17" x14ac:dyDescent="0.45">
      <c r="A257" s="10">
        <v>46087</v>
      </c>
      <c r="B257" s="1" t="s">
        <v>328</v>
      </c>
      <c r="C257" s="1" t="s">
        <v>67</v>
      </c>
      <c r="D257" s="1" t="s">
        <v>15</v>
      </c>
      <c r="E257" s="1" t="s">
        <v>55</v>
      </c>
      <c r="F257" s="1" t="s">
        <v>60</v>
      </c>
      <c r="G257" s="1" t="s">
        <v>24</v>
      </c>
      <c r="H257" s="1" t="s">
        <v>30</v>
      </c>
      <c r="I257" s="1">
        <v>58</v>
      </c>
      <c r="J257" s="1">
        <v>40</v>
      </c>
      <c r="K257" s="1">
        <v>0.15</v>
      </c>
      <c r="L257" s="1">
        <v>2320</v>
      </c>
      <c r="M257" s="1">
        <v>1972</v>
      </c>
      <c r="N257" s="1">
        <v>1869.59</v>
      </c>
      <c r="O257" s="1">
        <v>1.05</v>
      </c>
      <c r="P257" s="2" t="s">
        <v>73</v>
      </c>
      <c r="Q257" s="14" t="s">
        <v>26</v>
      </c>
    </row>
    <row r="258" spans="1:17" x14ac:dyDescent="0.45">
      <c r="A258" s="10">
        <v>46084</v>
      </c>
      <c r="B258" s="1" t="s">
        <v>329</v>
      </c>
      <c r="C258" s="1" t="s">
        <v>58</v>
      </c>
      <c r="D258" s="1" t="s">
        <v>25</v>
      </c>
      <c r="E258" s="1" t="s">
        <v>98</v>
      </c>
      <c r="F258" s="1" t="s">
        <v>71</v>
      </c>
      <c r="G258" s="1" t="s">
        <v>20</v>
      </c>
      <c r="H258" s="1" t="s">
        <v>33</v>
      </c>
      <c r="I258" s="1">
        <v>25</v>
      </c>
      <c r="J258" s="1">
        <v>35</v>
      </c>
      <c r="K258" s="1">
        <v>0.13</v>
      </c>
      <c r="L258" s="1">
        <v>875</v>
      </c>
      <c r="M258" s="1">
        <v>761.25</v>
      </c>
      <c r="N258" s="1">
        <v>613.16</v>
      </c>
      <c r="O258" s="1">
        <v>1.24</v>
      </c>
      <c r="P258" s="2" t="s">
        <v>73</v>
      </c>
      <c r="Q258" s="13" t="s">
        <v>26</v>
      </c>
    </row>
    <row r="259" spans="1:17" x14ac:dyDescent="0.45">
      <c r="A259" s="10">
        <v>46153</v>
      </c>
      <c r="B259" s="1" t="s">
        <v>330</v>
      </c>
      <c r="C259" s="1" t="s">
        <v>54</v>
      </c>
      <c r="D259" s="1" t="s">
        <v>21</v>
      </c>
      <c r="E259" s="1" t="s">
        <v>80</v>
      </c>
      <c r="F259" s="1" t="s">
        <v>71</v>
      </c>
      <c r="G259" s="1" t="s">
        <v>20</v>
      </c>
      <c r="H259" s="1" t="s">
        <v>33</v>
      </c>
      <c r="I259" s="1">
        <v>58</v>
      </c>
      <c r="J259" s="1">
        <v>35</v>
      </c>
      <c r="K259" s="1">
        <v>0.05</v>
      </c>
      <c r="L259" s="1">
        <v>2030</v>
      </c>
      <c r="M259" s="1">
        <v>1928.5</v>
      </c>
      <c r="N259" s="1">
        <v>2312.44</v>
      </c>
      <c r="O259" s="1">
        <v>0.83</v>
      </c>
      <c r="P259" s="2" t="s">
        <v>52</v>
      </c>
      <c r="Q259" s="14" t="s">
        <v>32</v>
      </c>
    </row>
    <row r="260" spans="1:17" x14ac:dyDescent="0.45">
      <c r="A260" s="10">
        <v>46162</v>
      </c>
      <c r="B260" s="1" t="s">
        <v>331</v>
      </c>
      <c r="C260" s="1" t="s">
        <v>54</v>
      </c>
      <c r="D260" s="1" t="s">
        <v>21</v>
      </c>
      <c r="E260" s="1" t="s">
        <v>80</v>
      </c>
      <c r="F260" s="1" t="s">
        <v>60</v>
      </c>
      <c r="G260" s="1" t="s">
        <v>24</v>
      </c>
      <c r="H260" s="1" t="s">
        <v>30</v>
      </c>
      <c r="I260" s="1">
        <v>69</v>
      </c>
      <c r="J260" s="1">
        <v>40</v>
      </c>
      <c r="K260" s="1">
        <v>0.1</v>
      </c>
      <c r="L260" s="1">
        <v>2760</v>
      </c>
      <c r="M260" s="1">
        <v>2484</v>
      </c>
      <c r="N260" s="1">
        <v>2056.64</v>
      </c>
      <c r="O260" s="1">
        <v>1.21</v>
      </c>
      <c r="P260" s="2" t="s">
        <v>73</v>
      </c>
      <c r="Q260" s="13" t="s">
        <v>32</v>
      </c>
    </row>
    <row r="261" spans="1:17" x14ac:dyDescent="0.45">
      <c r="A261" s="10">
        <v>46090</v>
      </c>
      <c r="B261" s="1" t="s">
        <v>332</v>
      </c>
      <c r="C261" s="1" t="s">
        <v>67</v>
      </c>
      <c r="D261" s="1" t="s">
        <v>15</v>
      </c>
      <c r="E261" s="1" t="s">
        <v>55</v>
      </c>
      <c r="F261" s="1" t="s">
        <v>95</v>
      </c>
      <c r="G261" s="1" t="s">
        <v>14</v>
      </c>
      <c r="H261" s="1" t="s">
        <v>27</v>
      </c>
      <c r="I261" s="1">
        <v>171</v>
      </c>
      <c r="J261" s="1">
        <v>120</v>
      </c>
      <c r="K261" s="1">
        <v>0.05</v>
      </c>
      <c r="L261" s="1">
        <v>20520</v>
      </c>
      <c r="M261" s="1">
        <v>19494</v>
      </c>
      <c r="N261" s="1">
        <v>15858.66</v>
      </c>
      <c r="O261" s="1">
        <v>1.23</v>
      </c>
      <c r="P261" s="2" t="s">
        <v>52</v>
      </c>
      <c r="Q261" s="14" t="s">
        <v>26</v>
      </c>
    </row>
    <row r="262" spans="1:17" x14ac:dyDescent="0.45">
      <c r="A262" s="10">
        <v>46027</v>
      </c>
      <c r="B262" s="1" t="s">
        <v>333</v>
      </c>
      <c r="C262" s="1" t="s">
        <v>49</v>
      </c>
      <c r="D262" s="1" t="s">
        <v>21</v>
      </c>
      <c r="E262" s="1" t="s">
        <v>50</v>
      </c>
      <c r="F262" s="1" t="s">
        <v>60</v>
      </c>
      <c r="G262" s="1" t="s">
        <v>24</v>
      </c>
      <c r="H262" s="1" t="s">
        <v>30</v>
      </c>
      <c r="I262" s="1">
        <v>121</v>
      </c>
      <c r="J262" s="1">
        <v>40</v>
      </c>
      <c r="K262" s="1">
        <v>0.12</v>
      </c>
      <c r="L262" s="1">
        <v>4840</v>
      </c>
      <c r="M262" s="1">
        <v>4259.2</v>
      </c>
      <c r="N262" s="1">
        <v>4911.2700000000004</v>
      </c>
      <c r="O262" s="1">
        <v>0.87</v>
      </c>
      <c r="P262" s="2" t="s">
        <v>73</v>
      </c>
      <c r="Q262" s="13" t="s">
        <v>16</v>
      </c>
    </row>
    <row r="263" spans="1:17" x14ac:dyDescent="0.45">
      <c r="A263" s="10">
        <v>46196</v>
      </c>
      <c r="B263" s="1" t="s">
        <v>334</v>
      </c>
      <c r="C263" s="1" t="s">
        <v>49</v>
      </c>
      <c r="D263" s="1" t="s">
        <v>28</v>
      </c>
      <c r="E263" s="1" t="s">
        <v>70</v>
      </c>
      <c r="F263" s="1" t="s">
        <v>71</v>
      </c>
      <c r="G263" s="1" t="s">
        <v>14</v>
      </c>
      <c r="H263" s="1" t="s">
        <v>18</v>
      </c>
      <c r="I263" s="1">
        <v>72</v>
      </c>
      <c r="J263" s="1">
        <v>250</v>
      </c>
      <c r="K263" s="1">
        <v>0.11</v>
      </c>
      <c r="L263" s="1">
        <v>18000</v>
      </c>
      <c r="M263" s="1">
        <v>16020</v>
      </c>
      <c r="N263" s="1">
        <v>15606.31</v>
      </c>
      <c r="O263" s="1">
        <v>1.03</v>
      </c>
      <c r="P263" s="2" t="s">
        <v>73</v>
      </c>
      <c r="Q263" s="14" t="s">
        <v>34</v>
      </c>
    </row>
    <row r="264" spans="1:17" x14ac:dyDescent="0.45">
      <c r="A264" s="10">
        <v>46137</v>
      </c>
      <c r="B264" s="1" t="s">
        <v>335</v>
      </c>
      <c r="C264" s="1" t="s">
        <v>54</v>
      </c>
      <c r="D264" s="1" t="s">
        <v>25</v>
      </c>
      <c r="E264" s="1" t="s">
        <v>68</v>
      </c>
      <c r="F264" s="1" t="s">
        <v>60</v>
      </c>
      <c r="G264" s="1" t="s">
        <v>20</v>
      </c>
      <c r="H264" s="1" t="s">
        <v>33</v>
      </c>
      <c r="I264" s="1">
        <v>133</v>
      </c>
      <c r="J264" s="1">
        <v>35</v>
      </c>
      <c r="K264" s="1">
        <v>0.13</v>
      </c>
      <c r="L264" s="1">
        <v>4655</v>
      </c>
      <c r="M264" s="1">
        <v>4049.85</v>
      </c>
      <c r="N264" s="1">
        <v>4037.05</v>
      </c>
      <c r="O264" s="1">
        <v>1</v>
      </c>
      <c r="P264" s="2" t="s">
        <v>73</v>
      </c>
      <c r="Q264" s="13" t="s">
        <v>29</v>
      </c>
    </row>
    <row r="265" spans="1:17" x14ac:dyDescent="0.45">
      <c r="A265" s="10">
        <v>46059</v>
      </c>
      <c r="B265" s="1" t="s">
        <v>336</v>
      </c>
      <c r="C265" s="1" t="s">
        <v>54</v>
      </c>
      <c r="D265" s="1" t="s">
        <v>21</v>
      </c>
      <c r="E265" s="1" t="s">
        <v>80</v>
      </c>
      <c r="F265" s="1" t="s">
        <v>51</v>
      </c>
      <c r="G265" s="1" t="s">
        <v>24</v>
      </c>
      <c r="H265" s="1" t="s">
        <v>35</v>
      </c>
      <c r="I265" s="1">
        <v>192</v>
      </c>
      <c r="J265" s="1">
        <v>30</v>
      </c>
      <c r="K265" s="1">
        <v>0.14000000000000001</v>
      </c>
      <c r="L265" s="1">
        <v>5760</v>
      </c>
      <c r="M265" s="1">
        <v>4953.6000000000004</v>
      </c>
      <c r="N265" s="1">
        <v>4425.3900000000003</v>
      </c>
      <c r="O265" s="1">
        <v>1.1200000000000001</v>
      </c>
      <c r="P265" s="2" t="s">
        <v>52</v>
      </c>
      <c r="Q265" s="14" t="s">
        <v>22</v>
      </c>
    </row>
    <row r="266" spans="1:17" x14ac:dyDescent="0.45">
      <c r="A266" s="10">
        <v>46114</v>
      </c>
      <c r="B266" s="1" t="s">
        <v>337</v>
      </c>
      <c r="C266" s="1" t="s">
        <v>49</v>
      </c>
      <c r="D266" s="1" t="s">
        <v>15</v>
      </c>
      <c r="E266" s="1" t="s">
        <v>62</v>
      </c>
      <c r="F266" s="1" t="s">
        <v>95</v>
      </c>
      <c r="G266" s="1" t="s">
        <v>14</v>
      </c>
      <c r="H266" s="1" t="s">
        <v>18</v>
      </c>
      <c r="I266" s="1">
        <v>138</v>
      </c>
      <c r="J266" s="1">
        <v>250</v>
      </c>
      <c r="K266" s="1">
        <v>0.11</v>
      </c>
      <c r="L266" s="1">
        <v>34500</v>
      </c>
      <c r="M266" s="1">
        <v>30705</v>
      </c>
      <c r="N266" s="1">
        <v>35162.21</v>
      </c>
      <c r="O266" s="1">
        <v>0.87</v>
      </c>
      <c r="P266" s="2" t="s">
        <v>52</v>
      </c>
      <c r="Q266" s="13" t="s">
        <v>29</v>
      </c>
    </row>
    <row r="267" spans="1:17" x14ac:dyDescent="0.45">
      <c r="A267" s="10">
        <v>46176</v>
      </c>
      <c r="B267" s="1" t="s">
        <v>338</v>
      </c>
      <c r="C267" s="1" t="s">
        <v>67</v>
      </c>
      <c r="D267" s="1" t="s">
        <v>15</v>
      </c>
      <c r="E267" s="1" t="s">
        <v>62</v>
      </c>
      <c r="F267" s="1" t="s">
        <v>71</v>
      </c>
      <c r="G267" s="1" t="s">
        <v>24</v>
      </c>
      <c r="H267" s="1" t="s">
        <v>35</v>
      </c>
      <c r="I267" s="1">
        <v>183</v>
      </c>
      <c r="J267" s="1">
        <v>30</v>
      </c>
      <c r="K267" s="1">
        <v>0.01</v>
      </c>
      <c r="L267" s="1">
        <v>5490</v>
      </c>
      <c r="M267" s="1">
        <v>5435.1</v>
      </c>
      <c r="N267" s="1">
        <v>4359.58</v>
      </c>
      <c r="O267" s="1">
        <v>1.25</v>
      </c>
      <c r="P267" s="2" t="s">
        <v>52</v>
      </c>
      <c r="Q267" s="14" t="s">
        <v>34</v>
      </c>
    </row>
    <row r="268" spans="1:17" x14ac:dyDescent="0.45">
      <c r="A268" s="10">
        <v>46142</v>
      </c>
      <c r="B268" s="1" t="s">
        <v>339</v>
      </c>
      <c r="C268" s="1" t="s">
        <v>58</v>
      </c>
      <c r="D268" s="1" t="s">
        <v>21</v>
      </c>
      <c r="E268" s="1" t="s">
        <v>80</v>
      </c>
      <c r="F268" s="1" t="s">
        <v>60</v>
      </c>
      <c r="G268" s="1" t="s">
        <v>24</v>
      </c>
      <c r="H268" s="1" t="s">
        <v>30</v>
      </c>
      <c r="I268" s="1">
        <v>194</v>
      </c>
      <c r="J268" s="1">
        <v>40</v>
      </c>
      <c r="K268" s="1">
        <v>0.09</v>
      </c>
      <c r="L268" s="1">
        <v>7760</v>
      </c>
      <c r="M268" s="1">
        <v>7061.6</v>
      </c>
      <c r="N268" s="1">
        <v>8397.5</v>
      </c>
      <c r="O268" s="1">
        <v>0.84</v>
      </c>
      <c r="P268" s="2" t="s">
        <v>73</v>
      </c>
      <c r="Q268" s="13" t="s">
        <v>29</v>
      </c>
    </row>
    <row r="269" spans="1:17" x14ac:dyDescent="0.45">
      <c r="A269" s="10">
        <v>46077</v>
      </c>
      <c r="B269" s="1" t="s">
        <v>340</v>
      </c>
      <c r="C269" s="1" t="s">
        <v>75</v>
      </c>
      <c r="D269" s="1" t="s">
        <v>28</v>
      </c>
      <c r="E269" s="1" t="s">
        <v>65</v>
      </c>
      <c r="F269" s="1" t="s">
        <v>78</v>
      </c>
      <c r="G269" s="1" t="s">
        <v>14</v>
      </c>
      <c r="H269" s="1" t="s">
        <v>18</v>
      </c>
      <c r="I269" s="1">
        <v>74</v>
      </c>
      <c r="J269" s="1">
        <v>250</v>
      </c>
      <c r="K269" s="1">
        <v>0.1</v>
      </c>
      <c r="L269" s="1">
        <v>18500</v>
      </c>
      <c r="M269" s="1">
        <v>16650</v>
      </c>
      <c r="N269" s="1">
        <v>13399.48</v>
      </c>
      <c r="O269" s="1">
        <v>1.24</v>
      </c>
      <c r="P269" s="2" t="s">
        <v>73</v>
      </c>
      <c r="Q269" s="14" t="s">
        <v>22</v>
      </c>
    </row>
    <row r="270" spans="1:17" x14ac:dyDescent="0.45">
      <c r="A270" s="10">
        <v>46182</v>
      </c>
      <c r="B270" s="1" t="s">
        <v>341</v>
      </c>
      <c r="C270" s="1" t="s">
        <v>58</v>
      </c>
      <c r="D270" s="1" t="s">
        <v>28</v>
      </c>
      <c r="E270" s="1" t="s">
        <v>82</v>
      </c>
      <c r="F270" s="1" t="s">
        <v>71</v>
      </c>
      <c r="G270" s="1" t="s">
        <v>14</v>
      </c>
      <c r="H270" s="1" t="s">
        <v>27</v>
      </c>
      <c r="I270" s="1">
        <v>118</v>
      </c>
      <c r="J270" s="1">
        <v>120</v>
      </c>
      <c r="K270" s="1">
        <v>0.04</v>
      </c>
      <c r="L270" s="1">
        <v>14160</v>
      </c>
      <c r="M270" s="1">
        <v>13593.6</v>
      </c>
      <c r="N270" s="1">
        <v>14774.48</v>
      </c>
      <c r="O270" s="1">
        <v>0.92</v>
      </c>
      <c r="P270" s="2" t="s">
        <v>73</v>
      </c>
      <c r="Q270" s="13" t="s">
        <v>34</v>
      </c>
    </row>
    <row r="271" spans="1:17" x14ac:dyDescent="0.45">
      <c r="A271" s="10">
        <v>46043</v>
      </c>
      <c r="B271" s="1" t="s">
        <v>342</v>
      </c>
      <c r="C271" s="1" t="s">
        <v>75</v>
      </c>
      <c r="D271" s="1" t="s">
        <v>21</v>
      </c>
      <c r="E271" s="1" t="s">
        <v>50</v>
      </c>
      <c r="F271" s="1" t="s">
        <v>56</v>
      </c>
      <c r="G271" s="1" t="s">
        <v>14</v>
      </c>
      <c r="H271" s="1" t="s">
        <v>18</v>
      </c>
      <c r="I271" s="1">
        <v>68</v>
      </c>
      <c r="J271" s="1">
        <v>250</v>
      </c>
      <c r="K271" s="1">
        <v>0.02</v>
      </c>
      <c r="L271" s="1">
        <v>17000</v>
      </c>
      <c r="M271" s="1">
        <v>16660</v>
      </c>
      <c r="N271" s="1">
        <v>17490.5</v>
      </c>
      <c r="O271" s="1">
        <v>0.95</v>
      </c>
      <c r="P271" s="2" t="s">
        <v>73</v>
      </c>
      <c r="Q271" s="14" t="s">
        <v>16</v>
      </c>
    </row>
    <row r="272" spans="1:17" x14ac:dyDescent="0.45">
      <c r="A272" s="10">
        <v>46111</v>
      </c>
      <c r="B272" s="1" t="s">
        <v>343</v>
      </c>
      <c r="C272" s="1" t="s">
        <v>54</v>
      </c>
      <c r="D272" s="1" t="s">
        <v>28</v>
      </c>
      <c r="E272" s="1" t="s">
        <v>82</v>
      </c>
      <c r="F272" s="1" t="s">
        <v>78</v>
      </c>
      <c r="G272" s="1" t="s">
        <v>24</v>
      </c>
      <c r="H272" s="1" t="s">
        <v>30</v>
      </c>
      <c r="I272" s="1">
        <v>169</v>
      </c>
      <c r="J272" s="1">
        <v>40</v>
      </c>
      <c r="K272" s="1">
        <v>0.05</v>
      </c>
      <c r="L272" s="1">
        <v>6760</v>
      </c>
      <c r="M272" s="1">
        <v>6422</v>
      </c>
      <c r="N272" s="1">
        <v>6143.22</v>
      </c>
      <c r="O272" s="1">
        <v>1.05</v>
      </c>
      <c r="P272" s="2" t="s">
        <v>73</v>
      </c>
      <c r="Q272" s="13" t="s">
        <v>26</v>
      </c>
    </row>
    <row r="273" spans="1:17" x14ac:dyDescent="0.45">
      <c r="A273" s="10">
        <v>46107</v>
      </c>
      <c r="B273" s="1" t="s">
        <v>344</v>
      </c>
      <c r="C273" s="1" t="s">
        <v>54</v>
      </c>
      <c r="D273" s="1" t="s">
        <v>21</v>
      </c>
      <c r="E273" s="1" t="s">
        <v>80</v>
      </c>
      <c r="F273" s="1" t="s">
        <v>71</v>
      </c>
      <c r="G273" s="1" t="s">
        <v>20</v>
      </c>
      <c r="H273" s="1" t="s">
        <v>33</v>
      </c>
      <c r="I273" s="1">
        <v>39</v>
      </c>
      <c r="J273" s="1">
        <v>35</v>
      </c>
      <c r="K273" s="1">
        <v>0.05</v>
      </c>
      <c r="L273" s="1">
        <v>1365</v>
      </c>
      <c r="M273" s="1">
        <v>1296.75</v>
      </c>
      <c r="N273" s="1">
        <v>1304.51</v>
      </c>
      <c r="O273" s="1">
        <v>0.99</v>
      </c>
      <c r="P273" s="2" t="s">
        <v>52</v>
      </c>
      <c r="Q273" s="14" t="s">
        <v>26</v>
      </c>
    </row>
    <row r="274" spans="1:17" x14ac:dyDescent="0.45">
      <c r="A274" s="10">
        <v>46028</v>
      </c>
      <c r="B274" s="1" t="s">
        <v>345</v>
      </c>
      <c r="C274" s="1" t="s">
        <v>64</v>
      </c>
      <c r="D274" s="1" t="s">
        <v>28</v>
      </c>
      <c r="E274" s="1" t="s">
        <v>70</v>
      </c>
      <c r="F274" s="1" t="s">
        <v>78</v>
      </c>
      <c r="G274" s="1" t="s">
        <v>24</v>
      </c>
      <c r="H274" s="1" t="s">
        <v>30</v>
      </c>
      <c r="I274" s="1">
        <v>153</v>
      </c>
      <c r="J274" s="1">
        <v>40</v>
      </c>
      <c r="K274" s="1">
        <v>0.04</v>
      </c>
      <c r="L274" s="1">
        <v>6120</v>
      </c>
      <c r="M274" s="1">
        <v>5875.2</v>
      </c>
      <c r="N274" s="1">
        <v>5898.65</v>
      </c>
      <c r="O274" s="1">
        <v>1</v>
      </c>
      <c r="P274" s="2" t="s">
        <v>73</v>
      </c>
      <c r="Q274" s="13" t="s">
        <v>16</v>
      </c>
    </row>
    <row r="275" spans="1:17" x14ac:dyDescent="0.45">
      <c r="A275" s="10">
        <v>46142</v>
      </c>
      <c r="B275" s="1" t="s">
        <v>346</v>
      </c>
      <c r="C275" s="1" t="s">
        <v>67</v>
      </c>
      <c r="D275" s="1" t="s">
        <v>28</v>
      </c>
      <c r="E275" s="1" t="s">
        <v>65</v>
      </c>
      <c r="F275" s="1" t="s">
        <v>71</v>
      </c>
      <c r="G275" s="1" t="s">
        <v>24</v>
      </c>
      <c r="H275" s="1" t="s">
        <v>30</v>
      </c>
      <c r="I275" s="1">
        <v>100</v>
      </c>
      <c r="J275" s="1">
        <v>40</v>
      </c>
      <c r="K275" s="1">
        <v>0.12</v>
      </c>
      <c r="L275" s="1">
        <v>4000</v>
      </c>
      <c r="M275" s="1">
        <v>3520</v>
      </c>
      <c r="N275" s="1">
        <v>2967.7</v>
      </c>
      <c r="O275" s="1">
        <v>1.19</v>
      </c>
      <c r="P275" s="2" t="s">
        <v>73</v>
      </c>
      <c r="Q275" s="14" t="s">
        <v>29</v>
      </c>
    </row>
    <row r="276" spans="1:17" x14ac:dyDescent="0.45">
      <c r="A276" s="10">
        <v>46198</v>
      </c>
      <c r="B276" s="1" t="s">
        <v>347</v>
      </c>
      <c r="C276" s="1" t="s">
        <v>67</v>
      </c>
      <c r="D276" s="1" t="s">
        <v>25</v>
      </c>
      <c r="E276" s="1" t="s">
        <v>104</v>
      </c>
      <c r="F276" s="1" t="s">
        <v>78</v>
      </c>
      <c r="G276" s="1" t="s">
        <v>20</v>
      </c>
      <c r="H276" s="1" t="s">
        <v>33</v>
      </c>
      <c r="I276" s="1">
        <v>185</v>
      </c>
      <c r="J276" s="1">
        <v>35</v>
      </c>
      <c r="K276" s="1">
        <v>0.13</v>
      </c>
      <c r="L276" s="1">
        <v>6475</v>
      </c>
      <c r="M276" s="1">
        <v>5633.25</v>
      </c>
      <c r="N276" s="1">
        <v>4891.29</v>
      </c>
      <c r="O276" s="1">
        <v>1.1499999999999999</v>
      </c>
      <c r="P276" s="2" t="s">
        <v>73</v>
      </c>
      <c r="Q276" s="13" t="s">
        <v>34</v>
      </c>
    </row>
    <row r="277" spans="1:17" x14ac:dyDescent="0.45">
      <c r="A277" s="10">
        <v>46069</v>
      </c>
      <c r="B277" s="1" t="s">
        <v>348</v>
      </c>
      <c r="C277" s="1" t="s">
        <v>75</v>
      </c>
      <c r="D277" s="1" t="s">
        <v>25</v>
      </c>
      <c r="E277" s="1" t="s">
        <v>98</v>
      </c>
      <c r="F277" s="1" t="s">
        <v>78</v>
      </c>
      <c r="G277" s="1" t="s">
        <v>14</v>
      </c>
      <c r="H277" s="1" t="s">
        <v>18</v>
      </c>
      <c r="I277" s="1">
        <v>74</v>
      </c>
      <c r="J277" s="1">
        <v>250</v>
      </c>
      <c r="K277" s="1">
        <v>0.04</v>
      </c>
      <c r="L277" s="1">
        <v>18500</v>
      </c>
      <c r="M277" s="1">
        <v>17760</v>
      </c>
      <c r="N277" s="1">
        <v>19592.7</v>
      </c>
      <c r="O277" s="1">
        <v>0.91</v>
      </c>
      <c r="P277" s="2" t="s">
        <v>52</v>
      </c>
      <c r="Q277" s="14" t="s">
        <v>22</v>
      </c>
    </row>
    <row r="278" spans="1:17" x14ac:dyDescent="0.45">
      <c r="A278" s="10">
        <v>46159</v>
      </c>
      <c r="B278" s="1" t="s">
        <v>349</v>
      </c>
      <c r="C278" s="1" t="s">
        <v>67</v>
      </c>
      <c r="D278" s="1" t="s">
        <v>15</v>
      </c>
      <c r="E278" s="1" t="s">
        <v>55</v>
      </c>
      <c r="F278" s="1" t="s">
        <v>71</v>
      </c>
      <c r="G278" s="1" t="s">
        <v>14</v>
      </c>
      <c r="H278" s="1" t="s">
        <v>18</v>
      </c>
      <c r="I278" s="1">
        <v>85</v>
      </c>
      <c r="J278" s="1">
        <v>250</v>
      </c>
      <c r="K278" s="1">
        <v>0.04</v>
      </c>
      <c r="L278" s="1">
        <v>21250</v>
      </c>
      <c r="M278" s="1">
        <v>20400</v>
      </c>
      <c r="N278" s="1">
        <v>18921.7</v>
      </c>
      <c r="O278" s="1">
        <v>1.08</v>
      </c>
      <c r="P278" s="2" t="s">
        <v>52</v>
      </c>
      <c r="Q278" s="13" t="s">
        <v>32</v>
      </c>
    </row>
    <row r="279" spans="1:17" x14ac:dyDescent="0.45">
      <c r="A279" s="10">
        <v>46125</v>
      </c>
      <c r="B279" s="1" t="s">
        <v>350</v>
      </c>
      <c r="C279" s="1" t="s">
        <v>49</v>
      </c>
      <c r="D279" s="1" t="s">
        <v>25</v>
      </c>
      <c r="E279" s="1" t="s">
        <v>68</v>
      </c>
      <c r="F279" s="1" t="s">
        <v>95</v>
      </c>
      <c r="G279" s="1" t="s">
        <v>24</v>
      </c>
      <c r="H279" s="1" t="s">
        <v>30</v>
      </c>
      <c r="I279" s="1">
        <v>87</v>
      </c>
      <c r="J279" s="1">
        <v>40</v>
      </c>
      <c r="K279" s="1">
        <v>0.09</v>
      </c>
      <c r="L279" s="1">
        <v>3480</v>
      </c>
      <c r="M279" s="1">
        <v>3166.8</v>
      </c>
      <c r="N279" s="1">
        <v>3747.79</v>
      </c>
      <c r="O279" s="1">
        <v>0.84</v>
      </c>
      <c r="P279" s="2" t="s">
        <v>73</v>
      </c>
      <c r="Q279" s="14" t="s">
        <v>29</v>
      </c>
    </row>
    <row r="280" spans="1:17" x14ac:dyDescent="0.45">
      <c r="A280" s="10">
        <v>46199</v>
      </c>
      <c r="B280" s="1" t="s">
        <v>351</v>
      </c>
      <c r="C280" s="1" t="s">
        <v>64</v>
      </c>
      <c r="D280" s="1" t="s">
        <v>25</v>
      </c>
      <c r="E280" s="1" t="s">
        <v>68</v>
      </c>
      <c r="F280" s="1" t="s">
        <v>60</v>
      </c>
      <c r="G280" s="1" t="s">
        <v>20</v>
      </c>
      <c r="H280" s="1" t="s">
        <v>33</v>
      </c>
      <c r="I280" s="1">
        <v>32</v>
      </c>
      <c r="J280" s="1">
        <v>35</v>
      </c>
      <c r="K280" s="1">
        <v>0.02</v>
      </c>
      <c r="L280" s="1">
        <v>1120</v>
      </c>
      <c r="M280" s="1">
        <v>1097.5999999999999</v>
      </c>
      <c r="N280" s="1">
        <v>1042.57</v>
      </c>
      <c r="O280" s="1">
        <v>1.05</v>
      </c>
      <c r="P280" s="2" t="s">
        <v>73</v>
      </c>
      <c r="Q280" s="13" t="s">
        <v>34</v>
      </c>
    </row>
    <row r="281" spans="1:17" x14ac:dyDescent="0.45">
      <c r="A281" s="10">
        <v>46117</v>
      </c>
      <c r="B281" s="1" t="s">
        <v>352</v>
      </c>
      <c r="C281" s="1" t="s">
        <v>49</v>
      </c>
      <c r="D281" s="1" t="s">
        <v>15</v>
      </c>
      <c r="E281" s="1" t="s">
        <v>62</v>
      </c>
      <c r="F281" s="1" t="s">
        <v>51</v>
      </c>
      <c r="G281" s="1" t="s">
        <v>24</v>
      </c>
      <c r="H281" s="1" t="s">
        <v>30</v>
      </c>
      <c r="I281" s="1">
        <v>67</v>
      </c>
      <c r="J281" s="1">
        <v>40</v>
      </c>
      <c r="K281" s="1">
        <v>0.01</v>
      </c>
      <c r="L281" s="1">
        <v>2680</v>
      </c>
      <c r="M281" s="1">
        <v>2653.2</v>
      </c>
      <c r="N281" s="1">
        <v>2908.03</v>
      </c>
      <c r="O281" s="1">
        <v>0.91</v>
      </c>
      <c r="P281" s="2" t="s">
        <v>73</v>
      </c>
      <c r="Q281" s="14" t="s">
        <v>29</v>
      </c>
    </row>
    <row r="282" spans="1:17" x14ac:dyDescent="0.45">
      <c r="A282" s="10">
        <v>46087</v>
      </c>
      <c r="B282" s="1" t="s">
        <v>353</v>
      </c>
      <c r="C282" s="1" t="s">
        <v>49</v>
      </c>
      <c r="D282" s="1" t="s">
        <v>25</v>
      </c>
      <c r="E282" s="1" t="s">
        <v>104</v>
      </c>
      <c r="F282" s="1" t="s">
        <v>78</v>
      </c>
      <c r="G282" s="1" t="s">
        <v>24</v>
      </c>
      <c r="H282" s="1" t="s">
        <v>35</v>
      </c>
      <c r="I282" s="1">
        <v>136</v>
      </c>
      <c r="J282" s="1">
        <v>30</v>
      </c>
      <c r="K282" s="1">
        <v>0.04</v>
      </c>
      <c r="L282" s="1">
        <v>4080</v>
      </c>
      <c r="M282" s="1">
        <v>3916.8</v>
      </c>
      <c r="N282" s="1">
        <v>3938.49</v>
      </c>
      <c r="O282" s="1">
        <v>0.99</v>
      </c>
      <c r="P282" s="2" t="s">
        <v>52</v>
      </c>
      <c r="Q282" s="13" t="s">
        <v>26</v>
      </c>
    </row>
    <row r="283" spans="1:17" x14ac:dyDescent="0.45">
      <c r="A283" s="10">
        <v>46150</v>
      </c>
      <c r="B283" s="1" t="s">
        <v>354</v>
      </c>
      <c r="C283" s="1" t="s">
        <v>67</v>
      </c>
      <c r="D283" s="1" t="s">
        <v>21</v>
      </c>
      <c r="E283" s="1" t="s">
        <v>80</v>
      </c>
      <c r="F283" s="1" t="s">
        <v>95</v>
      </c>
      <c r="G283" s="1" t="s">
        <v>20</v>
      </c>
      <c r="H283" s="1" t="s">
        <v>23</v>
      </c>
      <c r="I283" s="1">
        <v>68</v>
      </c>
      <c r="J283" s="1">
        <v>180</v>
      </c>
      <c r="K283" s="1">
        <v>7.0000000000000007E-2</v>
      </c>
      <c r="L283" s="1">
        <v>12240</v>
      </c>
      <c r="M283" s="1">
        <v>11383.2</v>
      </c>
      <c r="N283" s="1">
        <v>10717.04</v>
      </c>
      <c r="O283" s="1">
        <v>1.06</v>
      </c>
      <c r="P283" s="2" t="s">
        <v>73</v>
      </c>
      <c r="Q283" s="14" t="s">
        <v>32</v>
      </c>
    </row>
    <row r="284" spans="1:17" x14ac:dyDescent="0.45">
      <c r="A284" s="10">
        <v>46111</v>
      </c>
      <c r="B284" s="1" t="s">
        <v>355</v>
      </c>
      <c r="C284" s="1" t="s">
        <v>49</v>
      </c>
      <c r="D284" s="1" t="s">
        <v>21</v>
      </c>
      <c r="E284" s="1" t="s">
        <v>50</v>
      </c>
      <c r="F284" s="1" t="s">
        <v>56</v>
      </c>
      <c r="G284" s="1" t="s">
        <v>14</v>
      </c>
      <c r="H284" s="1" t="s">
        <v>27</v>
      </c>
      <c r="I284" s="1">
        <v>165</v>
      </c>
      <c r="J284" s="1">
        <v>120</v>
      </c>
      <c r="K284" s="1">
        <v>0.12</v>
      </c>
      <c r="L284" s="1">
        <v>19800</v>
      </c>
      <c r="M284" s="1">
        <v>17424</v>
      </c>
      <c r="N284" s="1">
        <v>19798.47</v>
      </c>
      <c r="O284" s="1">
        <v>0.88</v>
      </c>
      <c r="P284" s="2" t="s">
        <v>52</v>
      </c>
      <c r="Q284" s="13" t="s">
        <v>26</v>
      </c>
    </row>
    <row r="285" spans="1:17" x14ac:dyDescent="0.45">
      <c r="A285" s="10">
        <v>46047</v>
      </c>
      <c r="B285" s="1" t="s">
        <v>356</v>
      </c>
      <c r="C285" s="1" t="s">
        <v>75</v>
      </c>
      <c r="D285" s="1" t="s">
        <v>21</v>
      </c>
      <c r="E285" s="1" t="s">
        <v>80</v>
      </c>
      <c r="F285" s="1" t="s">
        <v>95</v>
      </c>
      <c r="G285" s="1" t="s">
        <v>24</v>
      </c>
      <c r="H285" s="1" t="s">
        <v>30</v>
      </c>
      <c r="I285" s="1">
        <v>185</v>
      </c>
      <c r="J285" s="1">
        <v>40</v>
      </c>
      <c r="K285" s="1">
        <v>0.01</v>
      </c>
      <c r="L285" s="1">
        <v>7400</v>
      </c>
      <c r="M285" s="1">
        <v>7326</v>
      </c>
      <c r="N285" s="1">
        <v>6985.11</v>
      </c>
      <c r="O285" s="1">
        <v>1.05</v>
      </c>
      <c r="P285" s="2" t="s">
        <v>52</v>
      </c>
      <c r="Q285" s="14" t="s">
        <v>16</v>
      </c>
    </row>
    <row r="286" spans="1:17" x14ac:dyDescent="0.45">
      <c r="A286" s="10">
        <v>46185</v>
      </c>
      <c r="B286" s="1" t="s">
        <v>357</v>
      </c>
      <c r="C286" s="1" t="s">
        <v>67</v>
      </c>
      <c r="D286" s="1" t="s">
        <v>15</v>
      </c>
      <c r="E286" s="1" t="s">
        <v>55</v>
      </c>
      <c r="F286" s="1" t="s">
        <v>95</v>
      </c>
      <c r="G286" s="1" t="s">
        <v>20</v>
      </c>
      <c r="H286" s="1" t="s">
        <v>33</v>
      </c>
      <c r="I286" s="1">
        <v>41</v>
      </c>
      <c r="J286" s="1">
        <v>35</v>
      </c>
      <c r="K286" s="1">
        <v>0.14000000000000001</v>
      </c>
      <c r="L286" s="1">
        <v>1435</v>
      </c>
      <c r="M286" s="1">
        <v>1234.0999999999999</v>
      </c>
      <c r="N286" s="1">
        <v>1471.34</v>
      </c>
      <c r="O286" s="1">
        <v>0.84</v>
      </c>
      <c r="P286" s="2" t="s">
        <v>52</v>
      </c>
      <c r="Q286" s="13" t="s">
        <v>34</v>
      </c>
    </row>
    <row r="287" spans="1:17" x14ac:dyDescent="0.45">
      <c r="A287" s="10">
        <v>46102</v>
      </c>
      <c r="B287" s="1" t="s">
        <v>358</v>
      </c>
      <c r="C287" s="1" t="s">
        <v>75</v>
      </c>
      <c r="D287" s="1" t="s">
        <v>28</v>
      </c>
      <c r="E287" s="1" t="s">
        <v>65</v>
      </c>
      <c r="F287" s="1" t="s">
        <v>78</v>
      </c>
      <c r="G287" s="1" t="s">
        <v>14</v>
      </c>
      <c r="H287" s="1" t="s">
        <v>27</v>
      </c>
      <c r="I287" s="1">
        <v>32</v>
      </c>
      <c r="J287" s="1">
        <v>120</v>
      </c>
      <c r="K287" s="1">
        <v>0</v>
      </c>
      <c r="L287" s="1">
        <v>3840</v>
      </c>
      <c r="M287" s="1">
        <v>3840</v>
      </c>
      <c r="N287" s="1">
        <v>4480.96</v>
      </c>
      <c r="O287" s="1">
        <v>0.86</v>
      </c>
      <c r="P287" s="2" t="s">
        <v>73</v>
      </c>
      <c r="Q287" s="14" t="s">
        <v>26</v>
      </c>
    </row>
    <row r="288" spans="1:17" x14ac:dyDescent="0.45">
      <c r="A288" s="10">
        <v>46188</v>
      </c>
      <c r="B288" s="1" t="s">
        <v>359</v>
      </c>
      <c r="C288" s="1" t="s">
        <v>67</v>
      </c>
      <c r="D288" s="1" t="s">
        <v>15</v>
      </c>
      <c r="E288" s="1" t="s">
        <v>62</v>
      </c>
      <c r="F288" s="1" t="s">
        <v>95</v>
      </c>
      <c r="G288" s="1" t="s">
        <v>24</v>
      </c>
      <c r="H288" s="1" t="s">
        <v>35</v>
      </c>
      <c r="I288" s="1">
        <v>8</v>
      </c>
      <c r="J288" s="1">
        <v>30</v>
      </c>
      <c r="K288" s="1">
        <v>0.04</v>
      </c>
      <c r="L288" s="1">
        <v>240</v>
      </c>
      <c r="M288" s="1">
        <v>230.4</v>
      </c>
      <c r="N288" s="1">
        <v>228.19</v>
      </c>
      <c r="O288" s="1">
        <v>1.01</v>
      </c>
      <c r="P288" s="2" t="s">
        <v>73</v>
      </c>
      <c r="Q288" s="13" t="s">
        <v>34</v>
      </c>
    </row>
    <row r="289" spans="1:17" x14ac:dyDescent="0.45">
      <c r="A289" s="10">
        <v>46103</v>
      </c>
      <c r="B289" s="1" t="s">
        <v>360</v>
      </c>
      <c r="C289" s="1" t="s">
        <v>49</v>
      </c>
      <c r="D289" s="1" t="s">
        <v>15</v>
      </c>
      <c r="E289" s="1" t="s">
        <v>62</v>
      </c>
      <c r="F289" s="1" t="s">
        <v>78</v>
      </c>
      <c r="G289" s="1" t="s">
        <v>24</v>
      </c>
      <c r="H289" s="1" t="s">
        <v>35</v>
      </c>
      <c r="I289" s="1">
        <v>182</v>
      </c>
      <c r="J289" s="1">
        <v>30</v>
      </c>
      <c r="K289" s="1">
        <v>0.09</v>
      </c>
      <c r="L289" s="1">
        <v>5460</v>
      </c>
      <c r="M289" s="1">
        <v>4968.6000000000004</v>
      </c>
      <c r="N289" s="1">
        <v>4970.9799999999996</v>
      </c>
      <c r="O289" s="1">
        <v>1</v>
      </c>
      <c r="P289" s="2" t="s">
        <v>52</v>
      </c>
      <c r="Q289" s="14" t="s">
        <v>26</v>
      </c>
    </row>
    <row r="290" spans="1:17" x14ac:dyDescent="0.45">
      <c r="A290" s="10">
        <v>46170</v>
      </c>
      <c r="B290" s="1" t="s">
        <v>361</v>
      </c>
      <c r="C290" s="1" t="s">
        <v>54</v>
      </c>
      <c r="D290" s="1" t="s">
        <v>21</v>
      </c>
      <c r="E290" s="1" t="s">
        <v>80</v>
      </c>
      <c r="F290" s="1" t="s">
        <v>95</v>
      </c>
      <c r="G290" s="1" t="s">
        <v>20</v>
      </c>
      <c r="H290" s="1" t="s">
        <v>23</v>
      </c>
      <c r="I290" s="1">
        <v>183</v>
      </c>
      <c r="J290" s="1">
        <v>180</v>
      </c>
      <c r="K290" s="1">
        <v>0.13</v>
      </c>
      <c r="L290" s="1">
        <v>32940</v>
      </c>
      <c r="M290" s="1">
        <v>28657.8</v>
      </c>
      <c r="N290" s="1">
        <v>24244.68</v>
      </c>
      <c r="O290" s="1">
        <v>1.18</v>
      </c>
      <c r="P290" s="2" t="s">
        <v>52</v>
      </c>
      <c r="Q290" s="13" t="s">
        <v>32</v>
      </c>
    </row>
    <row r="291" spans="1:17" x14ac:dyDescent="0.45">
      <c r="A291" s="10">
        <v>46187</v>
      </c>
      <c r="B291" s="1" t="s">
        <v>362</v>
      </c>
      <c r="C291" s="1" t="s">
        <v>75</v>
      </c>
      <c r="D291" s="1" t="s">
        <v>15</v>
      </c>
      <c r="E291" s="1" t="s">
        <v>55</v>
      </c>
      <c r="F291" s="1" t="s">
        <v>60</v>
      </c>
      <c r="G291" s="1" t="s">
        <v>24</v>
      </c>
      <c r="H291" s="1" t="s">
        <v>35</v>
      </c>
      <c r="I291" s="1">
        <v>163</v>
      </c>
      <c r="J291" s="1">
        <v>30</v>
      </c>
      <c r="K291" s="1">
        <v>0.12</v>
      </c>
      <c r="L291" s="1">
        <v>4890</v>
      </c>
      <c r="M291" s="1">
        <v>4303.2</v>
      </c>
      <c r="N291" s="1">
        <v>3683.01</v>
      </c>
      <c r="O291" s="1">
        <v>1.17</v>
      </c>
      <c r="P291" s="2" t="s">
        <v>52</v>
      </c>
      <c r="Q291" s="14" t="s">
        <v>34</v>
      </c>
    </row>
    <row r="292" spans="1:17" x14ac:dyDescent="0.45">
      <c r="A292" s="10">
        <v>46203</v>
      </c>
      <c r="B292" s="1" t="s">
        <v>363</v>
      </c>
      <c r="C292" s="1" t="s">
        <v>49</v>
      </c>
      <c r="D292" s="1" t="s">
        <v>15</v>
      </c>
      <c r="E292" s="1" t="s">
        <v>55</v>
      </c>
      <c r="F292" s="1" t="s">
        <v>56</v>
      </c>
      <c r="G292" s="1" t="s">
        <v>20</v>
      </c>
      <c r="H292" s="1" t="s">
        <v>23</v>
      </c>
      <c r="I292" s="1">
        <v>192</v>
      </c>
      <c r="J292" s="1">
        <v>180</v>
      </c>
      <c r="K292" s="1">
        <v>0.03</v>
      </c>
      <c r="L292" s="1">
        <v>34560</v>
      </c>
      <c r="M292" s="1">
        <v>33523.199999999997</v>
      </c>
      <c r="N292" s="1">
        <v>36191.24</v>
      </c>
      <c r="O292" s="1">
        <v>0.93</v>
      </c>
      <c r="P292" s="2" t="s">
        <v>52</v>
      </c>
      <c r="Q292" s="13" t="s">
        <v>34</v>
      </c>
    </row>
    <row r="293" spans="1:17" x14ac:dyDescent="0.45">
      <c r="A293" s="10">
        <v>46066</v>
      </c>
      <c r="B293" s="1" t="s">
        <v>364</v>
      </c>
      <c r="C293" s="1" t="s">
        <v>75</v>
      </c>
      <c r="D293" s="1" t="s">
        <v>25</v>
      </c>
      <c r="E293" s="1" t="s">
        <v>104</v>
      </c>
      <c r="F293" s="1" t="s">
        <v>60</v>
      </c>
      <c r="G293" s="1" t="s">
        <v>24</v>
      </c>
      <c r="H293" s="1" t="s">
        <v>30</v>
      </c>
      <c r="I293" s="1">
        <v>33</v>
      </c>
      <c r="J293" s="1">
        <v>40</v>
      </c>
      <c r="K293" s="1">
        <v>0.12</v>
      </c>
      <c r="L293" s="1">
        <v>1320</v>
      </c>
      <c r="M293" s="1">
        <v>1161.5999999999999</v>
      </c>
      <c r="N293" s="1">
        <v>1222.76</v>
      </c>
      <c r="O293" s="1">
        <v>0.95</v>
      </c>
      <c r="P293" s="2" t="s">
        <v>73</v>
      </c>
      <c r="Q293" s="14" t="s">
        <v>22</v>
      </c>
    </row>
    <row r="294" spans="1:17" x14ac:dyDescent="0.45">
      <c r="A294" s="10">
        <v>46117</v>
      </c>
      <c r="B294" s="1" t="s">
        <v>365</v>
      </c>
      <c r="C294" s="1" t="s">
        <v>58</v>
      </c>
      <c r="D294" s="1" t="s">
        <v>25</v>
      </c>
      <c r="E294" s="1" t="s">
        <v>68</v>
      </c>
      <c r="F294" s="1" t="s">
        <v>56</v>
      </c>
      <c r="G294" s="1" t="s">
        <v>24</v>
      </c>
      <c r="H294" s="1" t="s">
        <v>35</v>
      </c>
      <c r="I294" s="1">
        <v>70</v>
      </c>
      <c r="J294" s="1">
        <v>30</v>
      </c>
      <c r="K294" s="1">
        <v>0.13</v>
      </c>
      <c r="L294" s="1">
        <v>2100</v>
      </c>
      <c r="M294" s="1">
        <v>1827</v>
      </c>
      <c r="N294" s="1">
        <v>2144.7600000000002</v>
      </c>
      <c r="O294" s="1">
        <v>0.85</v>
      </c>
      <c r="P294" s="2" t="s">
        <v>52</v>
      </c>
      <c r="Q294" s="13" t="s">
        <v>29</v>
      </c>
    </row>
    <row r="295" spans="1:17" x14ac:dyDescent="0.45">
      <c r="A295" s="10">
        <v>46143</v>
      </c>
      <c r="B295" s="1" t="s">
        <v>366</v>
      </c>
      <c r="C295" s="1" t="s">
        <v>67</v>
      </c>
      <c r="D295" s="1" t="s">
        <v>25</v>
      </c>
      <c r="E295" s="1" t="s">
        <v>68</v>
      </c>
      <c r="F295" s="1" t="s">
        <v>56</v>
      </c>
      <c r="G295" s="1" t="s">
        <v>20</v>
      </c>
      <c r="H295" s="1" t="s">
        <v>33</v>
      </c>
      <c r="I295" s="1">
        <v>171</v>
      </c>
      <c r="J295" s="1">
        <v>35</v>
      </c>
      <c r="K295" s="1">
        <v>0.11</v>
      </c>
      <c r="L295" s="1">
        <v>5985</v>
      </c>
      <c r="M295" s="1">
        <v>5326.65</v>
      </c>
      <c r="N295" s="1">
        <v>4487.87</v>
      </c>
      <c r="O295" s="1">
        <v>1.19</v>
      </c>
      <c r="P295" s="2" t="s">
        <v>52</v>
      </c>
      <c r="Q295" s="14" t="s">
        <v>32</v>
      </c>
    </row>
    <row r="296" spans="1:17" x14ac:dyDescent="0.45">
      <c r="A296" s="10">
        <v>46175</v>
      </c>
      <c r="B296" s="1" t="s">
        <v>367</v>
      </c>
      <c r="C296" s="1" t="s">
        <v>64</v>
      </c>
      <c r="D296" s="1" t="s">
        <v>28</v>
      </c>
      <c r="E296" s="1" t="s">
        <v>59</v>
      </c>
      <c r="F296" s="1" t="s">
        <v>95</v>
      </c>
      <c r="G296" s="1" t="s">
        <v>20</v>
      </c>
      <c r="H296" s="1" t="s">
        <v>23</v>
      </c>
      <c r="I296" s="1">
        <v>34</v>
      </c>
      <c r="J296" s="1">
        <v>180</v>
      </c>
      <c r="K296" s="1">
        <v>0</v>
      </c>
      <c r="L296" s="1">
        <v>6120</v>
      </c>
      <c r="M296" s="1">
        <v>6120</v>
      </c>
      <c r="N296" s="1">
        <v>5173.68</v>
      </c>
      <c r="O296" s="1">
        <v>1.18</v>
      </c>
      <c r="P296" s="2" t="s">
        <v>52</v>
      </c>
      <c r="Q296" s="13" t="s">
        <v>34</v>
      </c>
    </row>
    <row r="297" spans="1:17" x14ac:dyDescent="0.45">
      <c r="A297" s="10">
        <v>46197</v>
      </c>
      <c r="B297" s="1" t="s">
        <v>368</v>
      </c>
      <c r="C297" s="1" t="s">
        <v>75</v>
      </c>
      <c r="D297" s="1" t="s">
        <v>21</v>
      </c>
      <c r="E297" s="1" t="s">
        <v>80</v>
      </c>
      <c r="F297" s="1" t="s">
        <v>56</v>
      </c>
      <c r="G297" s="1" t="s">
        <v>20</v>
      </c>
      <c r="H297" s="1" t="s">
        <v>33</v>
      </c>
      <c r="I297" s="1">
        <v>122</v>
      </c>
      <c r="J297" s="1">
        <v>35</v>
      </c>
      <c r="K297" s="1">
        <v>0.04</v>
      </c>
      <c r="L297" s="1">
        <v>4270</v>
      </c>
      <c r="M297" s="1">
        <v>4099.2</v>
      </c>
      <c r="N297" s="1">
        <v>4633.12</v>
      </c>
      <c r="O297" s="1">
        <v>0.88</v>
      </c>
      <c r="P297" s="2" t="s">
        <v>52</v>
      </c>
      <c r="Q297" s="14" t="s">
        <v>34</v>
      </c>
    </row>
    <row r="298" spans="1:17" x14ac:dyDescent="0.45">
      <c r="A298" s="10">
        <v>46073</v>
      </c>
      <c r="B298" s="1" t="s">
        <v>369</v>
      </c>
      <c r="C298" s="1" t="s">
        <v>54</v>
      </c>
      <c r="D298" s="1" t="s">
        <v>15</v>
      </c>
      <c r="E298" s="1" t="s">
        <v>62</v>
      </c>
      <c r="F298" s="1" t="s">
        <v>56</v>
      </c>
      <c r="G298" s="1" t="s">
        <v>24</v>
      </c>
      <c r="H298" s="1" t="s">
        <v>30</v>
      </c>
      <c r="I298" s="1">
        <v>145</v>
      </c>
      <c r="J298" s="1">
        <v>40</v>
      </c>
      <c r="K298" s="1">
        <v>0.11</v>
      </c>
      <c r="L298" s="1">
        <v>5800</v>
      </c>
      <c r="M298" s="1">
        <v>5162</v>
      </c>
      <c r="N298" s="1">
        <v>4694.55</v>
      </c>
      <c r="O298" s="1">
        <v>1.1000000000000001</v>
      </c>
      <c r="P298" s="2" t="s">
        <v>73</v>
      </c>
      <c r="Q298" s="13" t="s">
        <v>22</v>
      </c>
    </row>
    <row r="299" spans="1:17" x14ac:dyDescent="0.45">
      <c r="A299" s="10">
        <v>46122</v>
      </c>
      <c r="B299" s="1" t="s">
        <v>370</v>
      </c>
      <c r="C299" s="1" t="s">
        <v>58</v>
      </c>
      <c r="D299" s="1" t="s">
        <v>25</v>
      </c>
      <c r="E299" s="1" t="s">
        <v>68</v>
      </c>
      <c r="F299" s="1" t="s">
        <v>56</v>
      </c>
      <c r="G299" s="1" t="s">
        <v>14</v>
      </c>
      <c r="H299" s="1" t="s">
        <v>27</v>
      </c>
      <c r="I299" s="1">
        <v>99</v>
      </c>
      <c r="J299" s="1">
        <v>120</v>
      </c>
      <c r="K299" s="1">
        <v>0.02</v>
      </c>
      <c r="L299" s="1">
        <v>11880</v>
      </c>
      <c r="M299" s="1">
        <v>11642.4</v>
      </c>
      <c r="N299" s="1">
        <v>12974.68</v>
      </c>
      <c r="O299" s="1">
        <v>0.9</v>
      </c>
      <c r="P299" s="2" t="s">
        <v>52</v>
      </c>
      <c r="Q299" s="14" t="s">
        <v>29</v>
      </c>
    </row>
    <row r="300" spans="1:17" x14ac:dyDescent="0.45">
      <c r="A300" s="10">
        <v>46189</v>
      </c>
      <c r="B300" s="1" t="s">
        <v>371</v>
      </c>
      <c r="C300" s="1" t="s">
        <v>58</v>
      </c>
      <c r="D300" s="1" t="s">
        <v>28</v>
      </c>
      <c r="E300" s="1" t="s">
        <v>65</v>
      </c>
      <c r="F300" s="1" t="s">
        <v>60</v>
      </c>
      <c r="G300" s="1" t="s">
        <v>20</v>
      </c>
      <c r="H300" s="1" t="s">
        <v>23</v>
      </c>
      <c r="I300" s="1">
        <v>10</v>
      </c>
      <c r="J300" s="1">
        <v>180</v>
      </c>
      <c r="K300" s="1">
        <v>0.03</v>
      </c>
      <c r="L300" s="1">
        <v>1800</v>
      </c>
      <c r="M300" s="1">
        <v>1746</v>
      </c>
      <c r="N300" s="1">
        <v>1673.41</v>
      </c>
      <c r="O300" s="1">
        <v>1.04</v>
      </c>
      <c r="P300" s="2" t="s">
        <v>52</v>
      </c>
      <c r="Q300" s="13" t="s">
        <v>34</v>
      </c>
    </row>
    <row r="301" spans="1:17" x14ac:dyDescent="0.45">
      <c r="A301" s="10">
        <v>46163</v>
      </c>
      <c r="B301" s="1" t="s">
        <v>372</v>
      </c>
      <c r="C301" s="1" t="s">
        <v>49</v>
      </c>
      <c r="D301" s="1" t="s">
        <v>28</v>
      </c>
      <c r="E301" s="1" t="s">
        <v>70</v>
      </c>
      <c r="F301" s="1" t="s">
        <v>51</v>
      </c>
      <c r="G301" s="1" t="s">
        <v>24</v>
      </c>
      <c r="H301" s="1" t="s">
        <v>35</v>
      </c>
      <c r="I301" s="1">
        <v>86</v>
      </c>
      <c r="J301" s="1">
        <v>30</v>
      </c>
      <c r="K301" s="1">
        <v>0.02</v>
      </c>
      <c r="L301" s="1">
        <v>2580</v>
      </c>
      <c r="M301" s="1">
        <v>2528.4</v>
      </c>
      <c r="N301" s="1">
        <v>2918.96</v>
      </c>
      <c r="O301" s="1">
        <v>0.87</v>
      </c>
      <c r="P301" s="2" t="s">
        <v>52</v>
      </c>
      <c r="Q301" s="14" t="s">
        <v>32</v>
      </c>
    </row>
    <row r="302" spans="1:17" x14ac:dyDescent="0.45">
      <c r="A302" s="10">
        <v>46145</v>
      </c>
      <c r="B302" s="1" t="s">
        <v>373</v>
      </c>
      <c r="C302" s="1" t="s">
        <v>54</v>
      </c>
      <c r="D302" s="1" t="s">
        <v>15</v>
      </c>
      <c r="E302" s="1" t="s">
        <v>55</v>
      </c>
      <c r="F302" s="1" t="s">
        <v>56</v>
      </c>
      <c r="G302" s="1" t="s">
        <v>20</v>
      </c>
      <c r="H302" s="1" t="s">
        <v>33</v>
      </c>
      <c r="I302" s="1">
        <v>200</v>
      </c>
      <c r="J302" s="1">
        <v>35</v>
      </c>
      <c r="K302" s="1">
        <v>0.11</v>
      </c>
      <c r="L302" s="1">
        <v>7000</v>
      </c>
      <c r="M302" s="1">
        <v>6230</v>
      </c>
      <c r="N302" s="1">
        <v>7159.61</v>
      </c>
      <c r="O302" s="1">
        <v>0.87</v>
      </c>
      <c r="P302" s="2" t="s">
        <v>52</v>
      </c>
      <c r="Q302" s="13" t="s">
        <v>32</v>
      </c>
    </row>
    <row r="303" spans="1:17" x14ac:dyDescent="0.45">
      <c r="A303" s="10">
        <v>46091</v>
      </c>
      <c r="B303" s="1" t="s">
        <v>374</v>
      </c>
      <c r="C303" s="1" t="s">
        <v>67</v>
      </c>
      <c r="D303" s="1" t="s">
        <v>25</v>
      </c>
      <c r="E303" s="1" t="s">
        <v>68</v>
      </c>
      <c r="F303" s="1" t="s">
        <v>51</v>
      </c>
      <c r="G303" s="1" t="s">
        <v>24</v>
      </c>
      <c r="H303" s="1" t="s">
        <v>30</v>
      </c>
      <c r="I303" s="1">
        <v>125</v>
      </c>
      <c r="J303" s="1">
        <v>40</v>
      </c>
      <c r="K303" s="1">
        <v>0.03</v>
      </c>
      <c r="L303" s="1">
        <v>5000</v>
      </c>
      <c r="M303" s="1">
        <v>4850</v>
      </c>
      <c r="N303" s="1">
        <v>4677.91</v>
      </c>
      <c r="O303" s="1">
        <v>1.04</v>
      </c>
      <c r="P303" s="2" t="s">
        <v>52</v>
      </c>
      <c r="Q303" s="14" t="s">
        <v>26</v>
      </c>
    </row>
    <row r="304" spans="1:17" x14ac:dyDescent="0.45">
      <c r="A304" s="10">
        <v>46178</v>
      </c>
      <c r="B304" s="1" t="s">
        <v>375</v>
      </c>
      <c r="C304" s="1" t="s">
        <v>49</v>
      </c>
      <c r="D304" s="1" t="s">
        <v>15</v>
      </c>
      <c r="E304" s="1" t="s">
        <v>62</v>
      </c>
      <c r="F304" s="1" t="s">
        <v>71</v>
      </c>
      <c r="G304" s="1" t="s">
        <v>14</v>
      </c>
      <c r="H304" s="1" t="s">
        <v>27</v>
      </c>
      <c r="I304" s="1">
        <v>25</v>
      </c>
      <c r="J304" s="1">
        <v>120</v>
      </c>
      <c r="K304" s="1">
        <v>0.05</v>
      </c>
      <c r="L304" s="1">
        <v>3000</v>
      </c>
      <c r="M304" s="1">
        <v>2850</v>
      </c>
      <c r="N304" s="1">
        <v>3058.79</v>
      </c>
      <c r="O304" s="1">
        <v>0.93</v>
      </c>
      <c r="P304" s="2" t="s">
        <v>73</v>
      </c>
      <c r="Q304" s="13" t="s">
        <v>34</v>
      </c>
    </row>
    <row r="305" spans="1:17" x14ac:dyDescent="0.45">
      <c r="A305" s="10">
        <v>46024</v>
      </c>
      <c r="B305" s="1" t="s">
        <v>376</v>
      </c>
      <c r="C305" s="1" t="s">
        <v>54</v>
      </c>
      <c r="D305" s="1" t="s">
        <v>21</v>
      </c>
      <c r="E305" s="1" t="s">
        <v>80</v>
      </c>
      <c r="F305" s="1" t="s">
        <v>71</v>
      </c>
      <c r="G305" s="1" t="s">
        <v>14</v>
      </c>
      <c r="H305" s="1" t="s">
        <v>18</v>
      </c>
      <c r="I305" s="1">
        <v>118</v>
      </c>
      <c r="J305" s="1">
        <v>250</v>
      </c>
      <c r="K305" s="1">
        <v>0.05</v>
      </c>
      <c r="L305" s="1">
        <v>29500</v>
      </c>
      <c r="M305" s="1">
        <v>28025</v>
      </c>
      <c r="N305" s="1">
        <v>28674.77</v>
      </c>
      <c r="O305" s="1">
        <v>0.98</v>
      </c>
      <c r="P305" s="2" t="s">
        <v>52</v>
      </c>
      <c r="Q305" s="14" t="s">
        <v>16</v>
      </c>
    </row>
    <row r="306" spans="1:17" x14ac:dyDescent="0.45">
      <c r="A306" s="10">
        <v>46043</v>
      </c>
      <c r="B306" s="1" t="s">
        <v>377</v>
      </c>
      <c r="C306" s="1" t="s">
        <v>64</v>
      </c>
      <c r="D306" s="1" t="s">
        <v>15</v>
      </c>
      <c r="E306" s="1" t="s">
        <v>55</v>
      </c>
      <c r="F306" s="1" t="s">
        <v>95</v>
      </c>
      <c r="G306" s="1" t="s">
        <v>20</v>
      </c>
      <c r="H306" s="1" t="s">
        <v>33</v>
      </c>
      <c r="I306" s="1">
        <v>11</v>
      </c>
      <c r="J306" s="1">
        <v>35</v>
      </c>
      <c r="K306" s="1">
        <v>0.13</v>
      </c>
      <c r="L306" s="1">
        <v>385</v>
      </c>
      <c r="M306" s="1">
        <v>334.95</v>
      </c>
      <c r="N306" s="1">
        <v>369.93</v>
      </c>
      <c r="O306" s="1">
        <v>0.91</v>
      </c>
      <c r="P306" s="2" t="s">
        <v>73</v>
      </c>
      <c r="Q306" s="13" t="s">
        <v>16</v>
      </c>
    </row>
    <row r="307" spans="1:17" x14ac:dyDescent="0.45">
      <c r="A307" s="10">
        <v>46023</v>
      </c>
      <c r="B307" s="1" t="s">
        <v>378</v>
      </c>
      <c r="C307" s="1" t="s">
        <v>49</v>
      </c>
      <c r="D307" s="1" t="s">
        <v>28</v>
      </c>
      <c r="E307" s="1" t="s">
        <v>59</v>
      </c>
      <c r="F307" s="1" t="s">
        <v>60</v>
      </c>
      <c r="G307" s="1" t="s">
        <v>20</v>
      </c>
      <c r="H307" s="1" t="s">
        <v>23</v>
      </c>
      <c r="I307" s="1">
        <v>59</v>
      </c>
      <c r="J307" s="1">
        <v>180</v>
      </c>
      <c r="K307" s="1">
        <v>0.09</v>
      </c>
      <c r="L307" s="1">
        <v>10620</v>
      </c>
      <c r="M307" s="1">
        <v>9664.2000000000007</v>
      </c>
      <c r="N307" s="1">
        <v>10765.56</v>
      </c>
      <c r="O307" s="1">
        <v>0.9</v>
      </c>
      <c r="P307" s="2" t="s">
        <v>52</v>
      </c>
      <c r="Q307" s="14" t="s">
        <v>16</v>
      </c>
    </row>
    <row r="308" spans="1:17" x14ac:dyDescent="0.45">
      <c r="A308" s="10">
        <v>46034</v>
      </c>
      <c r="B308" s="1" t="s">
        <v>379</v>
      </c>
      <c r="C308" s="1" t="s">
        <v>58</v>
      </c>
      <c r="D308" s="1" t="s">
        <v>21</v>
      </c>
      <c r="E308" s="1" t="s">
        <v>50</v>
      </c>
      <c r="F308" s="1" t="s">
        <v>51</v>
      </c>
      <c r="G308" s="1" t="s">
        <v>20</v>
      </c>
      <c r="H308" s="1" t="s">
        <v>33</v>
      </c>
      <c r="I308" s="1">
        <v>45</v>
      </c>
      <c r="J308" s="1">
        <v>35</v>
      </c>
      <c r="K308" s="1">
        <v>0.14000000000000001</v>
      </c>
      <c r="L308" s="1">
        <v>1575</v>
      </c>
      <c r="M308" s="1">
        <v>1354.5</v>
      </c>
      <c r="N308" s="1">
        <v>1340.56</v>
      </c>
      <c r="O308" s="1">
        <v>1.01</v>
      </c>
      <c r="P308" s="2" t="s">
        <v>52</v>
      </c>
      <c r="Q308" s="13" t="s">
        <v>16</v>
      </c>
    </row>
    <row r="309" spans="1:17" x14ac:dyDescent="0.45">
      <c r="A309" s="10">
        <v>46174</v>
      </c>
      <c r="B309" s="1" t="s">
        <v>380</v>
      </c>
      <c r="C309" s="1" t="s">
        <v>54</v>
      </c>
      <c r="D309" s="1" t="s">
        <v>28</v>
      </c>
      <c r="E309" s="1" t="s">
        <v>70</v>
      </c>
      <c r="F309" s="1" t="s">
        <v>56</v>
      </c>
      <c r="G309" s="1" t="s">
        <v>24</v>
      </c>
      <c r="H309" s="1" t="s">
        <v>35</v>
      </c>
      <c r="I309" s="1">
        <v>161</v>
      </c>
      <c r="J309" s="1">
        <v>30</v>
      </c>
      <c r="K309" s="1">
        <v>7.0000000000000007E-2</v>
      </c>
      <c r="L309" s="1">
        <v>4830</v>
      </c>
      <c r="M309" s="1">
        <v>4491.8999999999996</v>
      </c>
      <c r="N309" s="1">
        <v>4457.6000000000004</v>
      </c>
      <c r="O309" s="1">
        <v>1.01</v>
      </c>
      <c r="P309" s="2" t="s">
        <v>52</v>
      </c>
      <c r="Q309" s="14" t="s">
        <v>34</v>
      </c>
    </row>
    <row r="310" spans="1:17" x14ac:dyDescent="0.45">
      <c r="A310" s="10">
        <v>46172</v>
      </c>
      <c r="B310" s="1" t="s">
        <v>381</v>
      </c>
      <c r="C310" s="1" t="s">
        <v>49</v>
      </c>
      <c r="D310" s="1" t="s">
        <v>25</v>
      </c>
      <c r="E310" s="1" t="s">
        <v>104</v>
      </c>
      <c r="F310" s="1" t="s">
        <v>51</v>
      </c>
      <c r="G310" s="1" t="s">
        <v>20</v>
      </c>
      <c r="H310" s="1" t="s">
        <v>23</v>
      </c>
      <c r="I310" s="1">
        <v>50</v>
      </c>
      <c r="J310" s="1">
        <v>180</v>
      </c>
      <c r="K310" s="1">
        <v>0.11</v>
      </c>
      <c r="L310" s="1">
        <v>9000</v>
      </c>
      <c r="M310" s="1">
        <v>8010</v>
      </c>
      <c r="N310" s="1">
        <v>8554.2900000000009</v>
      </c>
      <c r="O310" s="1">
        <v>0.94</v>
      </c>
      <c r="P310" s="2" t="s">
        <v>73</v>
      </c>
      <c r="Q310" s="13" t="s">
        <v>32</v>
      </c>
    </row>
    <row r="311" spans="1:17" x14ac:dyDescent="0.45">
      <c r="A311" s="10">
        <v>46160</v>
      </c>
      <c r="B311" s="1" t="s">
        <v>382</v>
      </c>
      <c r="C311" s="1" t="s">
        <v>67</v>
      </c>
      <c r="D311" s="1" t="s">
        <v>21</v>
      </c>
      <c r="E311" s="1" t="s">
        <v>80</v>
      </c>
      <c r="F311" s="1" t="s">
        <v>51</v>
      </c>
      <c r="G311" s="1" t="s">
        <v>20</v>
      </c>
      <c r="H311" s="1" t="s">
        <v>23</v>
      </c>
      <c r="I311" s="1">
        <v>191</v>
      </c>
      <c r="J311" s="1">
        <v>180</v>
      </c>
      <c r="K311" s="1">
        <v>0.12</v>
      </c>
      <c r="L311" s="1">
        <v>34380</v>
      </c>
      <c r="M311" s="1">
        <v>30254.400000000001</v>
      </c>
      <c r="N311" s="1">
        <v>31781.72</v>
      </c>
      <c r="O311" s="1">
        <v>0.95</v>
      </c>
      <c r="P311" s="2" t="s">
        <v>52</v>
      </c>
      <c r="Q311" s="14" t="s">
        <v>32</v>
      </c>
    </row>
    <row r="312" spans="1:17" x14ac:dyDescent="0.45">
      <c r="A312" s="10">
        <v>46047</v>
      </c>
      <c r="B312" s="1" t="s">
        <v>383</v>
      </c>
      <c r="C312" s="1" t="s">
        <v>67</v>
      </c>
      <c r="D312" s="1" t="s">
        <v>15</v>
      </c>
      <c r="E312" s="1" t="s">
        <v>62</v>
      </c>
      <c r="F312" s="1" t="s">
        <v>51</v>
      </c>
      <c r="G312" s="1" t="s">
        <v>20</v>
      </c>
      <c r="H312" s="1" t="s">
        <v>23</v>
      </c>
      <c r="I312" s="1">
        <v>114</v>
      </c>
      <c r="J312" s="1">
        <v>180</v>
      </c>
      <c r="K312" s="1">
        <v>0.09</v>
      </c>
      <c r="L312" s="1">
        <v>20520</v>
      </c>
      <c r="M312" s="1">
        <v>18673.2</v>
      </c>
      <c r="N312" s="1">
        <v>17756.919999999998</v>
      </c>
      <c r="O312" s="1">
        <v>1.05</v>
      </c>
      <c r="P312" s="2" t="s">
        <v>73</v>
      </c>
      <c r="Q312" s="13" t="s">
        <v>16</v>
      </c>
    </row>
    <row r="313" spans="1:17" x14ac:dyDescent="0.45">
      <c r="A313" s="10">
        <v>46147</v>
      </c>
      <c r="B313" s="1" t="s">
        <v>384</v>
      </c>
      <c r="C313" s="1" t="s">
        <v>75</v>
      </c>
      <c r="D313" s="1" t="s">
        <v>21</v>
      </c>
      <c r="E313" s="1" t="s">
        <v>80</v>
      </c>
      <c r="F313" s="1" t="s">
        <v>51</v>
      </c>
      <c r="G313" s="1" t="s">
        <v>14</v>
      </c>
      <c r="H313" s="1" t="s">
        <v>27</v>
      </c>
      <c r="I313" s="1">
        <v>24</v>
      </c>
      <c r="J313" s="1">
        <v>120</v>
      </c>
      <c r="K313" s="1">
        <v>0.14000000000000001</v>
      </c>
      <c r="L313" s="1">
        <v>2880</v>
      </c>
      <c r="M313" s="1">
        <v>2476.8000000000002</v>
      </c>
      <c r="N313" s="1">
        <v>2140.54</v>
      </c>
      <c r="O313" s="1">
        <v>1.1599999999999999</v>
      </c>
      <c r="P313" s="2" t="s">
        <v>73</v>
      </c>
      <c r="Q313" s="14" t="s">
        <v>32</v>
      </c>
    </row>
    <row r="314" spans="1:17" x14ac:dyDescent="0.45">
      <c r="A314" s="10">
        <v>46165</v>
      </c>
      <c r="B314" s="1" t="s">
        <v>385</v>
      </c>
      <c r="C314" s="1" t="s">
        <v>49</v>
      </c>
      <c r="D314" s="1" t="s">
        <v>25</v>
      </c>
      <c r="E314" s="1" t="s">
        <v>104</v>
      </c>
      <c r="F314" s="1" t="s">
        <v>60</v>
      </c>
      <c r="G314" s="1" t="s">
        <v>14</v>
      </c>
      <c r="H314" s="1" t="s">
        <v>18</v>
      </c>
      <c r="I314" s="1">
        <v>155</v>
      </c>
      <c r="J314" s="1">
        <v>250</v>
      </c>
      <c r="K314" s="1">
        <v>0.06</v>
      </c>
      <c r="L314" s="1">
        <v>38750</v>
      </c>
      <c r="M314" s="1">
        <v>36425</v>
      </c>
      <c r="N314" s="1">
        <v>40951.089999999997</v>
      </c>
      <c r="O314" s="1">
        <v>0.89</v>
      </c>
      <c r="P314" s="2" t="s">
        <v>73</v>
      </c>
      <c r="Q314" s="13" t="s">
        <v>32</v>
      </c>
    </row>
    <row r="315" spans="1:17" x14ac:dyDescent="0.45">
      <c r="A315" s="10">
        <v>46181</v>
      </c>
      <c r="B315" s="1" t="s">
        <v>386</v>
      </c>
      <c r="C315" s="1" t="s">
        <v>67</v>
      </c>
      <c r="D315" s="1" t="s">
        <v>21</v>
      </c>
      <c r="E315" s="1" t="s">
        <v>80</v>
      </c>
      <c r="F315" s="1" t="s">
        <v>51</v>
      </c>
      <c r="G315" s="1" t="s">
        <v>20</v>
      </c>
      <c r="H315" s="1" t="s">
        <v>33</v>
      </c>
      <c r="I315" s="1">
        <v>12</v>
      </c>
      <c r="J315" s="1">
        <v>35</v>
      </c>
      <c r="K315" s="1">
        <v>0.09</v>
      </c>
      <c r="L315" s="1">
        <v>420</v>
      </c>
      <c r="M315" s="1">
        <v>382.2</v>
      </c>
      <c r="N315" s="1">
        <v>374.88</v>
      </c>
      <c r="O315" s="1">
        <v>1.02</v>
      </c>
      <c r="P315" s="2" t="s">
        <v>73</v>
      </c>
      <c r="Q315" s="14" t="s">
        <v>34</v>
      </c>
    </row>
    <row r="316" spans="1:17" x14ac:dyDescent="0.45">
      <c r="A316" s="10">
        <v>46169</v>
      </c>
      <c r="B316" s="1" t="s">
        <v>387</v>
      </c>
      <c r="C316" s="1" t="s">
        <v>58</v>
      </c>
      <c r="D316" s="1" t="s">
        <v>15</v>
      </c>
      <c r="E316" s="1" t="s">
        <v>55</v>
      </c>
      <c r="F316" s="1" t="s">
        <v>51</v>
      </c>
      <c r="G316" s="1" t="s">
        <v>14</v>
      </c>
      <c r="H316" s="1" t="s">
        <v>27</v>
      </c>
      <c r="I316" s="1">
        <v>134</v>
      </c>
      <c r="J316" s="1">
        <v>120</v>
      </c>
      <c r="K316" s="1">
        <v>0.12</v>
      </c>
      <c r="L316" s="1">
        <v>16080</v>
      </c>
      <c r="M316" s="1">
        <v>14150.4</v>
      </c>
      <c r="N316" s="1">
        <v>13377.25</v>
      </c>
      <c r="O316" s="1">
        <v>1.06</v>
      </c>
      <c r="P316" s="2" t="s">
        <v>52</v>
      </c>
      <c r="Q316" s="13" t="s">
        <v>32</v>
      </c>
    </row>
    <row r="317" spans="1:17" x14ac:dyDescent="0.45">
      <c r="A317" s="10">
        <v>46119</v>
      </c>
      <c r="B317" s="1" t="s">
        <v>388</v>
      </c>
      <c r="C317" s="1" t="s">
        <v>67</v>
      </c>
      <c r="D317" s="1" t="s">
        <v>21</v>
      </c>
      <c r="E317" s="1" t="s">
        <v>50</v>
      </c>
      <c r="F317" s="1" t="s">
        <v>60</v>
      </c>
      <c r="G317" s="1" t="s">
        <v>14</v>
      </c>
      <c r="H317" s="1" t="s">
        <v>18</v>
      </c>
      <c r="I317" s="1">
        <v>61</v>
      </c>
      <c r="J317" s="1">
        <v>250</v>
      </c>
      <c r="K317" s="1">
        <v>0.14000000000000001</v>
      </c>
      <c r="L317" s="1">
        <v>15250</v>
      </c>
      <c r="M317" s="1">
        <v>13115</v>
      </c>
      <c r="N317" s="1">
        <v>13748.92</v>
      </c>
      <c r="O317" s="1">
        <v>0.95</v>
      </c>
      <c r="P317" s="2" t="s">
        <v>73</v>
      </c>
      <c r="Q317" s="14" t="s">
        <v>29</v>
      </c>
    </row>
    <row r="318" spans="1:17" x14ac:dyDescent="0.45">
      <c r="A318" s="10">
        <v>46162</v>
      </c>
      <c r="B318" s="1" t="s">
        <v>389</v>
      </c>
      <c r="C318" s="1" t="s">
        <v>75</v>
      </c>
      <c r="D318" s="1" t="s">
        <v>15</v>
      </c>
      <c r="E318" s="1" t="s">
        <v>62</v>
      </c>
      <c r="F318" s="1" t="s">
        <v>56</v>
      </c>
      <c r="G318" s="1" t="s">
        <v>20</v>
      </c>
      <c r="H318" s="1" t="s">
        <v>33</v>
      </c>
      <c r="I318" s="1">
        <v>141</v>
      </c>
      <c r="J318" s="1">
        <v>35</v>
      </c>
      <c r="K318" s="1">
        <v>0.03</v>
      </c>
      <c r="L318" s="1">
        <v>4935</v>
      </c>
      <c r="M318" s="1">
        <v>4786.95</v>
      </c>
      <c r="N318" s="1">
        <v>4670.5200000000004</v>
      </c>
      <c r="O318" s="1">
        <v>1.02</v>
      </c>
      <c r="P318" s="2" t="s">
        <v>73</v>
      </c>
      <c r="Q318" s="13" t="s">
        <v>32</v>
      </c>
    </row>
    <row r="319" spans="1:17" x14ac:dyDescent="0.45">
      <c r="A319" s="10">
        <v>46129</v>
      </c>
      <c r="B319" s="1" t="s">
        <v>390</v>
      </c>
      <c r="C319" s="1" t="s">
        <v>67</v>
      </c>
      <c r="D319" s="1" t="s">
        <v>21</v>
      </c>
      <c r="E319" s="1" t="s">
        <v>50</v>
      </c>
      <c r="F319" s="1" t="s">
        <v>60</v>
      </c>
      <c r="G319" s="1" t="s">
        <v>14</v>
      </c>
      <c r="H319" s="1" t="s">
        <v>27</v>
      </c>
      <c r="I319" s="1">
        <v>120</v>
      </c>
      <c r="J319" s="1">
        <v>120</v>
      </c>
      <c r="K319" s="1">
        <v>0.14000000000000001</v>
      </c>
      <c r="L319" s="1">
        <v>14400</v>
      </c>
      <c r="M319" s="1">
        <v>12384</v>
      </c>
      <c r="N319" s="1">
        <v>13079.62</v>
      </c>
      <c r="O319" s="1">
        <v>0.95</v>
      </c>
      <c r="P319" s="2" t="s">
        <v>73</v>
      </c>
      <c r="Q319" s="14" t="s">
        <v>29</v>
      </c>
    </row>
    <row r="320" spans="1:17" x14ac:dyDescent="0.45">
      <c r="A320" s="10">
        <v>46096</v>
      </c>
      <c r="B320" s="1" t="s">
        <v>391</v>
      </c>
      <c r="C320" s="1" t="s">
        <v>58</v>
      </c>
      <c r="D320" s="1" t="s">
        <v>28</v>
      </c>
      <c r="E320" s="1" t="s">
        <v>59</v>
      </c>
      <c r="F320" s="1" t="s">
        <v>78</v>
      </c>
      <c r="G320" s="1" t="s">
        <v>14</v>
      </c>
      <c r="H320" s="1" t="s">
        <v>27</v>
      </c>
      <c r="I320" s="1">
        <v>163</v>
      </c>
      <c r="J320" s="1">
        <v>120</v>
      </c>
      <c r="K320" s="1">
        <v>0.06</v>
      </c>
      <c r="L320" s="1">
        <v>19560</v>
      </c>
      <c r="M320" s="1">
        <v>18386.400000000001</v>
      </c>
      <c r="N320" s="1">
        <v>15669.75</v>
      </c>
      <c r="O320" s="1">
        <v>1.17</v>
      </c>
      <c r="P320" s="2" t="s">
        <v>73</v>
      </c>
      <c r="Q320" s="13" t="s">
        <v>26</v>
      </c>
    </row>
    <row r="321" spans="1:17" x14ac:dyDescent="0.45">
      <c r="A321" s="10">
        <v>46046</v>
      </c>
      <c r="B321" s="1" t="s">
        <v>392</v>
      </c>
      <c r="C321" s="1" t="s">
        <v>75</v>
      </c>
      <c r="D321" s="1" t="s">
        <v>25</v>
      </c>
      <c r="E321" s="1" t="s">
        <v>98</v>
      </c>
      <c r="F321" s="1" t="s">
        <v>95</v>
      </c>
      <c r="G321" s="1" t="s">
        <v>20</v>
      </c>
      <c r="H321" s="1" t="s">
        <v>23</v>
      </c>
      <c r="I321" s="1">
        <v>111</v>
      </c>
      <c r="J321" s="1">
        <v>180</v>
      </c>
      <c r="K321" s="1">
        <v>0.05</v>
      </c>
      <c r="L321" s="1">
        <v>19980</v>
      </c>
      <c r="M321" s="1">
        <v>18981</v>
      </c>
      <c r="N321" s="1">
        <v>16137.15</v>
      </c>
      <c r="O321" s="1">
        <v>1.18</v>
      </c>
      <c r="P321" s="2" t="s">
        <v>52</v>
      </c>
      <c r="Q321" s="14" t="s">
        <v>16</v>
      </c>
    </row>
    <row r="322" spans="1:17" x14ac:dyDescent="0.45">
      <c r="A322" s="10">
        <v>46074</v>
      </c>
      <c r="B322" s="1" t="s">
        <v>393</v>
      </c>
      <c r="C322" s="1" t="s">
        <v>54</v>
      </c>
      <c r="D322" s="1" t="s">
        <v>15</v>
      </c>
      <c r="E322" s="1" t="s">
        <v>55</v>
      </c>
      <c r="F322" s="1" t="s">
        <v>71</v>
      </c>
      <c r="G322" s="1" t="s">
        <v>24</v>
      </c>
      <c r="H322" s="1" t="s">
        <v>30</v>
      </c>
      <c r="I322" s="1">
        <v>19</v>
      </c>
      <c r="J322" s="1">
        <v>40</v>
      </c>
      <c r="K322" s="1">
        <v>0.09</v>
      </c>
      <c r="L322" s="1">
        <v>760</v>
      </c>
      <c r="M322" s="1">
        <v>691.6</v>
      </c>
      <c r="N322" s="1">
        <v>589.48</v>
      </c>
      <c r="O322" s="1">
        <v>1.17</v>
      </c>
      <c r="P322" s="2" t="s">
        <v>73</v>
      </c>
      <c r="Q322" s="13" t="s">
        <v>22</v>
      </c>
    </row>
    <row r="323" spans="1:17" x14ac:dyDescent="0.45">
      <c r="A323" s="10">
        <v>46159</v>
      </c>
      <c r="B323" s="1" t="s">
        <v>394</v>
      </c>
      <c r="C323" s="1" t="s">
        <v>58</v>
      </c>
      <c r="D323" s="1" t="s">
        <v>28</v>
      </c>
      <c r="E323" s="1" t="s">
        <v>59</v>
      </c>
      <c r="F323" s="1" t="s">
        <v>51</v>
      </c>
      <c r="G323" s="1" t="s">
        <v>14</v>
      </c>
      <c r="H323" s="1" t="s">
        <v>18</v>
      </c>
      <c r="I323" s="1">
        <v>18</v>
      </c>
      <c r="J323" s="1">
        <v>250</v>
      </c>
      <c r="K323" s="1">
        <v>0.09</v>
      </c>
      <c r="L323" s="1">
        <v>4500</v>
      </c>
      <c r="M323" s="1">
        <v>4095</v>
      </c>
      <c r="N323" s="1">
        <v>3454.33</v>
      </c>
      <c r="O323" s="1">
        <v>1.19</v>
      </c>
      <c r="P323" s="2" t="s">
        <v>73</v>
      </c>
      <c r="Q323" s="14" t="s">
        <v>32</v>
      </c>
    </row>
    <row r="324" spans="1:17" x14ac:dyDescent="0.45">
      <c r="A324" s="10">
        <v>46122</v>
      </c>
      <c r="B324" s="1" t="s">
        <v>395</v>
      </c>
      <c r="C324" s="1" t="s">
        <v>49</v>
      </c>
      <c r="D324" s="1" t="s">
        <v>15</v>
      </c>
      <c r="E324" s="1" t="s">
        <v>62</v>
      </c>
      <c r="F324" s="1" t="s">
        <v>71</v>
      </c>
      <c r="G324" s="1" t="s">
        <v>20</v>
      </c>
      <c r="H324" s="1" t="s">
        <v>23</v>
      </c>
      <c r="I324" s="1">
        <v>186</v>
      </c>
      <c r="J324" s="1">
        <v>180</v>
      </c>
      <c r="K324" s="1">
        <v>0.14000000000000001</v>
      </c>
      <c r="L324" s="1">
        <v>33480</v>
      </c>
      <c r="M324" s="1">
        <v>28792.799999999999</v>
      </c>
      <c r="N324" s="1">
        <v>33046.910000000003</v>
      </c>
      <c r="O324" s="1">
        <v>0.87</v>
      </c>
      <c r="P324" s="2" t="s">
        <v>52</v>
      </c>
      <c r="Q324" s="13" t="s">
        <v>29</v>
      </c>
    </row>
    <row r="325" spans="1:17" x14ac:dyDescent="0.45">
      <c r="A325" s="10">
        <v>46164</v>
      </c>
      <c r="B325" s="1" t="s">
        <v>396</v>
      </c>
      <c r="C325" s="1" t="s">
        <v>49</v>
      </c>
      <c r="D325" s="1" t="s">
        <v>21</v>
      </c>
      <c r="E325" s="1" t="s">
        <v>50</v>
      </c>
      <c r="F325" s="1" t="s">
        <v>71</v>
      </c>
      <c r="G325" s="1" t="s">
        <v>20</v>
      </c>
      <c r="H325" s="1" t="s">
        <v>23</v>
      </c>
      <c r="I325" s="1">
        <v>148</v>
      </c>
      <c r="J325" s="1">
        <v>180</v>
      </c>
      <c r="K325" s="1">
        <v>0</v>
      </c>
      <c r="L325" s="1">
        <v>26640</v>
      </c>
      <c r="M325" s="1">
        <v>26640</v>
      </c>
      <c r="N325" s="1">
        <v>23821.4</v>
      </c>
      <c r="O325" s="1">
        <v>1.1200000000000001</v>
      </c>
      <c r="P325" s="2" t="s">
        <v>52</v>
      </c>
      <c r="Q325" s="14" t="s">
        <v>32</v>
      </c>
    </row>
    <row r="326" spans="1:17" x14ac:dyDescent="0.45">
      <c r="A326" s="10">
        <v>46189</v>
      </c>
      <c r="B326" s="1" t="s">
        <v>397</v>
      </c>
      <c r="C326" s="1" t="s">
        <v>64</v>
      </c>
      <c r="D326" s="1" t="s">
        <v>28</v>
      </c>
      <c r="E326" s="1" t="s">
        <v>65</v>
      </c>
      <c r="F326" s="1" t="s">
        <v>95</v>
      </c>
      <c r="G326" s="1" t="s">
        <v>20</v>
      </c>
      <c r="H326" s="1" t="s">
        <v>33</v>
      </c>
      <c r="I326" s="1">
        <v>100</v>
      </c>
      <c r="J326" s="1">
        <v>35</v>
      </c>
      <c r="K326" s="1">
        <v>0.12</v>
      </c>
      <c r="L326" s="1">
        <v>3500</v>
      </c>
      <c r="M326" s="1">
        <v>3080</v>
      </c>
      <c r="N326" s="1">
        <v>3207.94</v>
      </c>
      <c r="O326" s="1">
        <v>0.96</v>
      </c>
      <c r="P326" s="2" t="s">
        <v>52</v>
      </c>
      <c r="Q326" s="13" t="s">
        <v>34</v>
      </c>
    </row>
    <row r="327" spans="1:17" x14ac:dyDescent="0.45">
      <c r="A327" s="10">
        <v>46084</v>
      </c>
      <c r="B327" s="1" t="s">
        <v>398</v>
      </c>
      <c r="C327" s="1" t="s">
        <v>64</v>
      </c>
      <c r="D327" s="1" t="s">
        <v>25</v>
      </c>
      <c r="E327" s="1" t="s">
        <v>98</v>
      </c>
      <c r="F327" s="1" t="s">
        <v>56</v>
      </c>
      <c r="G327" s="1" t="s">
        <v>14</v>
      </c>
      <c r="H327" s="1" t="s">
        <v>27</v>
      </c>
      <c r="I327" s="1">
        <v>46</v>
      </c>
      <c r="J327" s="1">
        <v>120</v>
      </c>
      <c r="K327" s="1">
        <v>0.09</v>
      </c>
      <c r="L327" s="1">
        <v>5520</v>
      </c>
      <c r="M327" s="1">
        <v>5023.2</v>
      </c>
      <c r="N327" s="1">
        <v>4578.01</v>
      </c>
      <c r="O327" s="1">
        <v>1.1000000000000001</v>
      </c>
      <c r="P327" s="2" t="s">
        <v>73</v>
      </c>
      <c r="Q327" s="14" t="s">
        <v>26</v>
      </c>
    </row>
    <row r="328" spans="1:17" x14ac:dyDescent="0.45">
      <c r="A328" s="10">
        <v>46125</v>
      </c>
      <c r="B328" s="1" t="s">
        <v>399</v>
      </c>
      <c r="C328" s="1" t="s">
        <v>75</v>
      </c>
      <c r="D328" s="1" t="s">
        <v>25</v>
      </c>
      <c r="E328" s="1" t="s">
        <v>68</v>
      </c>
      <c r="F328" s="1" t="s">
        <v>60</v>
      </c>
      <c r="G328" s="1" t="s">
        <v>14</v>
      </c>
      <c r="H328" s="1" t="s">
        <v>18</v>
      </c>
      <c r="I328" s="1">
        <v>175</v>
      </c>
      <c r="J328" s="1">
        <v>250</v>
      </c>
      <c r="K328" s="1">
        <v>0.06</v>
      </c>
      <c r="L328" s="1">
        <v>43750</v>
      </c>
      <c r="M328" s="1">
        <v>41125</v>
      </c>
      <c r="N328" s="1">
        <v>41547.57</v>
      </c>
      <c r="O328" s="1">
        <v>0.99</v>
      </c>
      <c r="P328" s="2" t="s">
        <v>52</v>
      </c>
      <c r="Q328" s="13" t="s">
        <v>29</v>
      </c>
    </row>
    <row r="329" spans="1:17" x14ac:dyDescent="0.45">
      <c r="A329" s="10">
        <v>46142</v>
      </c>
      <c r="B329" s="1" t="s">
        <v>400</v>
      </c>
      <c r="C329" s="1" t="s">
        <v>67</v>
      </c>
      <c r="D329" s="1" t="s">
        <v>15</v>
      </c>
      <c r="E329" s="1" t="s">
        <v>62</v>
      </c>
      <c r="F329" s="1" t="s">
        <v>71</v>
      </c>
      <c r="G329" s="1" t="s">
        <v>20</v>
      </c>
      <c r="H329" s="1" t="s">
        <v>33</v>
      </c>
      <c r="I329" s="1">
        <v>198</v>
      </c>
      <c r="J329" s="1">
        <v>35</v>
      </c>
      <c r="K329" s="1">
        <v>0.08</v>
      </c>
      <c r="L329" s="1">
        <v>6930</v>
      </c>
      <c r="M329" s="1">
        <v>6375.6</v>
      </c>
      <c r="N329" s="1">
        <v>6179.39</v>
      </c>
      <c r="O329" s="1">
        <v>1.03</v>
      </c>
      <c r="P329" s="2" t="s">
        <v>73</v>
      </c>
      <c r="Q329" s="14" t="s">
        <v>29</v>
      </c>
    </row>
    <row r="330" spans="1:17" x14ac:dyDescent="0.45">
      <c r="A330" s="10">
        <v>46144</v>
      </c>
      <c r="B330" s="1" t="s">
        <v>401</v>
      </c>
      <c r="C330" s="1" t="s">
        <v>49</v>
      </c>
      <c r="D330" s="1" t="s">
        <v>25</v>
      </c>
      <c r="E330" s="1" t="s">
        <v>98</v>
      </c>
      <c r="F330" s="1" t="s">
        <v>95</v>
      </c>
      <c r="G330" s="1" t="s">
        <v>20</v>
      </c>
      <c r="H330" s="1" t="s">
        <v>23</v>
      </c>
      <c r="I330" s="1">
        <v>17</v>
      </c>
      <c r="J330" s="1">
        <v>180</v>
      </c>
      <c r="K330" s="1">
        <v>0.09</v>
      </c>
      <c r="L330" s="1">
        <v>3060</v>
      </c>
      <c r="M330" s="1">
        <v>2784.6</v>
      </c>
      <c r="N330" s="1">
        <v>2359.48</v>
      </c>
      <c r="O330" s="1">
        <v>1.18</v>
      </c>
      <c r="P330" s="2" t="s">
        <v>73</v>
      </c>
      <c r="Q330" s="13" t="s">
        <v>32</v>
      </c>
    </row>
    <row r="331" spans="1:17" x14ac:dyDescent="0.45">
      <c r="A331" s="10">
        <v>46109</v>
      </c>
      <c r="B331" s="1" t="s">
        <v>402</v>
      </c>
      <c r="C331" s="1" t="s">
        <v>54</v>
      </c>
      <c r="D331" s="1" t="s">
        <v>28</v>
      </c>
      <c r="E331" s="1" t="s">
        <v>70</v>
      </c>
      <c r="F331" s="1" t="s">
        <v>56</v>
      </c>
      <c r="G331" s="1" t="s">
        <v>14</v>
      </c>
      <c r="H331" s="1" t="s">
        <v>18</v>
      </c>
      <c r="I331" s="1">
        <v>18</v>
      </c>
      <c r="J331" s="1">
        <v>250</v>
      </c>
      <c r="K331" s="1">
        <v>0.13</v>
      </c>
      <c r="L331" s="1">
        <v>4500</v>
      </c>
      <c r="M331" s="1">
        <v>3915</v>
      </c>
      <c r="N331" s="1">
        <v>4096.25</v>
      </c>
      <c r="O331" s="1">
        <v>0.96</v>
      </c>
      <c r="P331" s="2" t="s">
        <v>73</v>
      </c>
      <c r="Q331" s="14" t="s">
        <v>26</v>
      </c>
    </row>
    <row r="332" spans="1:17" x14ac:dyDescent="0.45">
      <c r="A332" s="10">
        <v>46110</v>
      </c>
      <c r="B332" s="1" t="s">
        <v>403</v>
      </c>
      <c r="C332" s="1" t="s">
        <v>58</v>
      </c>
      <c r="D332" s="1" t="s">
        <v>15</v>
      </c>
      <c r="E332" s="1" t="s">
        <v>62</v>
      </c>
      <c r="F332" s="1" t="s">
        <v>60</v>
      </c>
      <c r="G332" s="1" t="s">
        <v>14</v>
      </c>
      <c r="H332" s="1" t="s">
        <v>27</v>
      </c>
      <c r="I332" s="1">
        <v>191</v>
      </c>
      <c r="J332" s="1">
        <v>120</v>
      </c>
      <c r="K332" s="1">
        <v>0.01</v>
      </c>
      <c r="L332" s="1">
        <v>22920</v>
      </c>
      <c r="M332" s="1">
        <v>22690.799999999999</v>
      </c>
      <c r="N332" s="1">
        <v>27077.08</v>
      </c>
      <c r="O332" s="1">
        <v>0.84</v>
      </c>
      <c r="P332" s="2" t="s">
        <v>73</v>
      </c>
      <c r="Q332" s="13" t="s">
        <v>26</v>
      </c>
    </row>
    <row r="333" spans="1:17" x14ac:dyDescent="0.45">
      <c r="A333" s="10">
        <v>46027</v>
      </c>
      <c r="B333" s="1" t="s">
        <v>404</v>
      </c>
      <c r="C333" s="1" t="s">
        <v>67</v>
      </c>
      <c r="D333" s="1" t="s">
        <v>28</v>
      </c>
      <c r="E333" s="1" t="s">
        <v>65</v>
      </c>
      <c r="F333" s="1" t="s">
        <v>51</v>
      </c>
      <c r="G333" s="1" t="s">
        <v>24</v>
      </c>
      <c r="H333" s="1" t="s">
        <v>35</v>
      </c>
      <c r="I333" s="1">
        <v>20</v>
      </c>
      <c r="J333" s="1">
        <v>30</v>
      </c>
      <c r="K333" s="1">
        <v>0.06</v>
      </c>
      <c r="L333" s="1">
        <v>600</v>
      </c>
      <c r="M333" s="1">
        <v>564</v>
      </c>
      <c r="N333" s="1">
        <v>468.68</v>
      </c>
      <c r="O333" s="1">
        <v>1.2</v>
      </c>
      <c r="P333" s="2" t="s">
        <v>73</v>
      </c>
      <c r="Q333" s="14" t="s">
        <v>16</v>
      </c>
    </row>
    <row r="334" spans="1:17" x14ac:dyDescent="0.45">
      <c r="A334" s="10">
        <v>46198</v>
      </c>
      <c r="B334" s="1" t="s">
        <v>405</v>
      </c>
      <c r="C334" s="1" t="s">
        <v>58</v>
      </c>
      <c r="D334" s="1" t="s">
        <v>15</v>
      </c>
      <c r="E334" s="1" t="s">
        <v>55</v>
      </c>
      <c r="F334" s="1" t="s">
        <v>95</v>
      </c>
      <c r="G334" s="1" t="s">
        <v>14</v>
      </c>
      <c r="H334" s="1" t="s">
        <v>18</v>
      </c>
      <c r="I334" s="1">
        <v>123</v>
      </c>
      <c r="J334" s="1">
        <v>250</v>
      </c>
      <c r="K334" s="1">
        <v>0.01</v>
      </c>
      <c r="L334" s="1">
        <v>30750</v>
      </c>
      <c r="M334" s="1">
        <v>30442.5</v>
      </c>
      <c r="N334" s="1">
        <v>30061.8</v>
      </c>
      <c r="O334" s="1">
        <v>1.01</v>
      </c>
      <c r="P334" s="2" t="s">
        <v>52</v>
      </c>
      <c r="Q334" s="13" t="s">
        <v>34</v>
      </c>
    </row>
    <row r="335" spans="1:17" x14ac:dyDescent="0.45">
      <c r="A335" s="10">
        <v>46035</v>
      </c>
      <c r="B335" s="1" t="s">
        <v>406</v>
      </c>
      <c r="C335" s="1" t="s">
        <v>58</v>
      </c>
      <c r="D335" s="1" t="s">
        <v>25</v>
      </c>
      <c r="E335" s="1" t="s">
        <v>104</v>
      </c>
      <c r="F335" s="1" t="s">
        <v>56</v>
      </c>
      <c r="G335" s="1" t="s">
        <v>14</v>
      </c>
      <c r="H335" s="1" t="s">
        <v>18</v>
      </c>
      <c r="I335" s="1">
        <v>78</v>
      </c>
      <c r="J335" s="1">
        <v>250</v>
      </c>
      <c r="K335" s="1">
        <v>0.08</v>
      </c>
      <c r="L335" s="1">
        <v>19500</v>
      </c>
      <c r="M335" s="1">
        <v>17940</v>
      </c>
      <c r="N335" s="1">
        <v>17497.61</v>
      </c>
      <c r="O335" s="1">
        <v>1.03</v>
      </c>
      <c r="P335" s="2" t="s">
        <v>73</v>
      </c>
      <c r="Q335" s="14" t="s">
        <v>16</v>
      </c>
    </row>
    <row r="336" spans="1:17" x14ac:dyDescent="0.45">
      <c r="A336" s="10">
        <v>46149</v>
      </c>
      <c r="B336" s="1" t="s">
        <v>407</v>
      </c>
      <c r="C336" s="1" t="s">
        <v>54</v>
      </c>
      <c r="D336" s="1" t="s">
        <v>25</v>
      </c>
      <c r="E336" s="1" t="s">
        <v>104</v>
      </c>
      <c r="F336" s="1" t="s">
        <v>56</v>
      </c>
      <c r="G336" s="1" t="s">
        <v>20</v>
      </c>
      <c r="H336" s="1" t="s">
        <v>33</v>
      </c>
      <c r="I336" s="1">
        <v>195</v>
      </c>
      <c r="J336" s="1">
        <v>35</v>
      </c>
      <c r="K336" s="1">
        <v>0.04</v>
      </c>
      <c r="L336" s="1">
        <v>6825</v>
      </c>
      <c r="M336" s="1">
        <v>6552</v>
      </c>
      <c r="N336" s="1">
        <v>7409.89</v>
      </c>
      <c r="O336" s="1">
        <v>0.88</v>
      </c>
      <c r="P336" s="2" t="s">
        <v>52</v>
      </c>
      <c r="Q336" s="13" t="s">
        <v>32</v>
      </c>
    </row>
    <row r="337" spans="1:17" x14ac:dyDescent="0.45">
      <c r="A337" s="10">
        <v>46129</v>
      </c>
      <c r="B337" s="1" t="s">
        <v>408</v>
      </c>
      <c r="C337" s="1" t="s">
        <v>58</v>
      </c>
      <c r="D337" s="1" t="s">
        <v>28</v>
      </c>
      <c r="E337" s="1" t="s">
        <v>59</v>
      </c>
      <c r="F337" s="1" t="s">
        <v>60</v>
      </c>
      <c r="G337" s="1" t="s">
        <v>20</v>
      </c>
      <c r="H337" s="1" t="s">
        <v>23</v>
      </c>
      <c r="I337" s="1">
        <v>55</v>
      </c>
      <c r="J337" s="1">
        <v>180</v>
      </c>
      <c r="K337" s="1">
        <v>0.13</v>
      </c>
      <c r="L337" s="1">
        <v>9900</v>
      </c>
      <c r="M337" s="1">
        <v>8613</v>
      </c>
      <c r="N337" s="1">
        <v>7002.23</v>
      </c>
      <c r="O337" s="1">
        <v>1.23</v>
      </c>
      <c r="P337" s="2" t="s">
        <v>52</v>
      </c>
      <c r="Q337" s="14" t="s">
        <v>29</v>
      </c>
    </row>
    <row r="338" spans="1:17" x14ac:dyDescent="0.45">
      <c r="A338" s="10">
        <v>46058</v>
      </c>
      <c r="B338" s="1" t="s">
        <v>409</v>
      </c>
      <c r="C338" s="1" t="s">
        <v>64</v>
      </c>
      <c r="D338" s="1" t="s">
        <v>25</v>
      </c>
      <c r="E338" s="1" t="s">
        <v>104</v>
      </c>
      <c r="F338" s="1" t="s">
        <v>60</v>
      </c>
      <c r="G338" s="1" t="s">
        <v>20</v>
      </c>
      <c r="H338" s="1" t="s">
        <v>33</v>
      </c>
      <c r="I338" s="1">
        <v>133</v>
      </c>
      <c r="J338" s="1">
        <v>35</v>
      </c>
      <c r="K338" s="1">
        <v>0.01</v>
      </c>
      <c r="L338" s="1">
        <v>4655</v>
      </c>
      <c r="M338" s="1">
        <v>4608.45</v>
      </c>
      <c r="N338" s="1">
        <v>5401.53</v>
      </c>
      <c r="O338" s="1">
        <v>0.85</v>
      </c>
      <c r="P338" s="2" t="s">
        <v>73</v>
      </c>
      <c r="Q338" s="13" t="s">
        <v>22</v>
      </c>
    </row>
    <row r="339" spans="1:17" x14ac:dyDescent="0.45">
      <c r="A339" s="10">
        <v>46094</v>
      </c>
      <c r="B339" s="1" t="s">
        <v>410</v>
      </c>
      <c r="C339" s="1" t="s">
        <v>64</v>
      </c>
      <c r="D339" s="1" t="s">
        <v>15</v>
      </c>
      <c r="E339" s="1" t="s">
        <v>55</v>
      </c>
      <c r="F339" s="1" t="s">
        <v>56</v>
      </c>
      <c r="G339" s="1" t="s">
        <v>20</v>
      </c>
      <c r="H339" s="1" t="s">
        <v>33</v>
      </c>
      <c r="I339" s="1">
        <v>63</v>
      </c>
      <c r="J339" s="1">
        <v>35</v>
      </c>
      <c r="K339" s="1">
        <v>0.03</v>
      </c>
      <c r="L339" s="1">
        <v>2205</v>
      </c>
      <c r="M339" s="1">
        <v>2138.85</v>
      </c>
      <c r="N339" s="1">
        <v>2059.11</v>
      </c>
      <c r="O339" s="1">
        <v>1.04</v>
      </c>
      <c r="P339" s="2" t="s">
        <v>52</v>
      </c>
      <c r="Q339" s="14" t="s">
        <v>26</v>
      </c>
    </row>
    <row r="340" spans="1:17" x14ac:dyDescent="0.45">
      <c r="A340" s="10">
        <v>46044</v>
      </c>
      <c r="B340" s="1" t="s">
        <v>411</v>
      </c>
      <c r="C340" s="1" t="s">
        <v>58</v>
      </c>
      <c r="D340" s="1" t="s">
        <v>21</v>
      </c>
      <c r="E340" s="1" t="s">
        <v>80</v>
      </c>
      <c r="F340" s="1" t="s">
        <v>78</v>
      </c>
      <c r="G340" s="1" t="s">
        <v>14</v>
      </c>
      <c r="H340" s="1" t="s">
        <v>27</v>
      </c>
      <c r="I340" s="1">
        <v>16</v>
      </c>
      <c r="J340" s="1">
        <v>120</v>
      </c>
      <c r="K340" s="1">
        <v>0</v>
      </c>
      <c r="L340" s="1">
        <v>1920</v>
      </c>
      <c r="M340" s="1">
        <v>1920</v>
      </c>
      <c r="N340" s="1">
        <v>1911.22</v>
      </c>
      <c r="O340" s="1">
        <v>1</v>
      </c>
      <c r="P340" s="2" t="s">
        <v>73</v>
      </c>
      <c r="Q340" s="13" t="s">
        <v>16</v>
      </c>
    </row>
    <row r="341" spans="1:17" x14ac:dyDescent="0.45">
      <c r="A341" s="10">
        <v>46165</v>
      </c>
      <c r="B341" s="1" t="s">
        <v>412</v>
      </c>
      <c r="C341" s="1" t="s">
        <v>58</v>
      </c>
      <c r="D341" s="1" t="s">
        <v>21</v>
      </c>
      <c r="E341" s="1" t="s">
        <v>80</v>
      </c>
      <c r="F341" s="1" t="s">
        <v>78</v>
      </c>
      <c r="G341" s="1" t="s">
        <v>24</v>
      </c>
      <c r="H341" s="1" t="s">
        <v>30</v>
      </c>
      <c r="I341" s="1">
        <v>115</v>
      </c>
      <c r="J341" s="1">
        <v>40</v>
      </c>
      <c r="K341" s="1">
        <v>0.04</v>
      </c>
      <c r="L341" s="1">
        <v>4600</v>
      </c>
      <c r="M341" s="1">
        <v>4416</v>
      </c>
      <c r="N341" s="1">
        <v>4740.4799999999996</v>
      </c>
      <c r="O341" s="1">
        <v>0.93</v>
      </c>
      <c r="P341" s="2" t="s">
        <v>73</v>
      </c>
      <c r="Q341" s="14" t="s">
        <v>32</v>
      </c>
    </row>
    <row r="342" spans="1:17" x14ac:dyDescent="0.45">
      <c r="A342" s="10">
        <v>46046</v>
      </c>
      <c r="B342" s="1" t="s">
        <v>413</v>
      </c>
      <c r="C342" s="1" t="s">
        <v>67</v>
      </c>
      <c r="D342" s="1" t="s">
        <v>25</v>
      </c>
      <c r="E342" s="1" t="s">
        <v>104</v>
      </c>
      <c r="F342" s="1" t="s">
        <v>71</v>
      </c>
      <c r="G342" s="1" t="s">
        <v>24</v>
      </c>
      <c r="H342" s="1" t="s">
        <v>30</v>
      </c>
      <c r="I342" s="1">
        <v>172</v>
      </c>
      <c r="J342" s="1">
        <v>40</v>
      </c>
      <c r="K342" s="1">
        <v>0.01</v>
      </c>
      <c r="L342" s="1">
        <v>6880</v>
      </c>
      <c r="M342" s="1">
        <v>6811.2</v>
      </c>
      <c r="N342" s="1">
        <v>7850.93</v>
      </c>
      <c r="O342" s="1">
        <v>0.87</v>
      </c>
      <c r="P342" s="2" t="s">
        <v>52</v>
      </c>
      <c r="Q342" s="13" t="s">
        <v>16</v>
      </c>
    </row>
    <row r="343" spans="1:17" x14ac:dyDescent="0.45">
      <c r="A343" s="10">
        <v>46032</v>
      </c>
      <c r="B343" s="1" t="s">
        <v>414</v>
      </c>
      <c r="C343" s="1" t="s">
        <v>64</v>
      </c>
      <c r="D343" s="1" t="s">
        <v>15</v>
      </c>
      <c r="E343" s="1" t="s">
        <v>62</v>
      </c>
      <c r="F343" s="1" t="s">
        <v>78</v>
      </c>
      <c r="G343" s="1" t="s">
        <v>14</v>
      </c>
      <c r="H343" s="1" t="s">
        <v>18</v>
      </c>
      <c r="I343" s="1">
        <v>11</v>
      </c>
      <c r="J343" s="1">
        <v>250</v>
      </c>
      <c r="K343" s="1">
        <v>0.09</v>
      </c>
      <c r="L343" s="1">
        <v>2750</v>
      </c>
      <c r="M343" s="1">
        <v>2502.5</v>
      </c>
      <c r="N343" s="1">
        <v>2867.65</v>
      </c>
      <c r="O343" s="1">
        <v>0.87</v>
      </c>
      <c r="P343" s="2" t="s">
        <v>52</v>
      </c>
      <c r="Q343" s="14" t="s">
        <v>16</v>
      </c>
    </row>
    <row r="344" spans="1:17" x14ac:dyDescent="0.45">
      <c r="A344" s="10">
        <v>46081</v>
      </c>
      <c r="B344" s="1" t="s">
        <v>415</v>
      </c>
      <c r="C344" s="1" t="s">
        <v>49</v>
      </c>
      <c r="D344" s="1" t="s">
        <v>25</v>
      </c>
      <c r="E344" s="1" t="s">
        <v>68</v>
      </c>
      <c r="F344" s="1" t="s">
        <v>60</v>
      </c>
      <c r="G344" s="1" t="s">
        <v>14</v>
      </c>
      <c r="H344" s="1" t="s">
        <v>18</v>
      </c>
      <c r="I344" s="1">
        <v>18</v>
      </c>
      <c r="J344" s="1">
        <v>250</v>
      </c>
      <c r="K344" s="1">
        <v>0.01</v>
      </c>
      <c r="L344" s="1">
        <v>4500</v>
      </c>
      <c r="M344" s="1">
        <v>4455</v>
      </c>
      <c r="N344" s="1">
        <v>5076.16</v>
      </c>
      <c r="O344" s="1">
        <v>0.88</v>
      </c>
      <c r="P344" s="2" t="s">
        <v>73</v>
      </c>
      <c r="Q344" s="13" t="s">
        <v>22</v>
      </c>
    </row>
    <row r="345" spans="1:17" x14ac:dyDescent="0.45">
      <c r="A345" s="10">
        <v>46194</v>
      </c>
      <c r="B345" s="1" t="s">
        <v>416</v>
      </c>
      <c r="C345" s="1" t="s">
        <v>67</v>
      </c>
      <c r="D345" s="1" t="s">
        <v>28</v>
      </c>
      <c r="E345" s="1" t="s">
        <v>82</v>
      </c>
      <c r="F345" s="1" t="s">
        <v>56</v>
      </c>
      <c r="G345" s="1" t="s">
        <v>20</v>
      </c>
      <c r="H345" s="1" t="s">
        <v>23</v>
      </c>
      <c r="I345" s="1">
        <v>63</v>
      </c>
      <c r="J345" s="1">
        <v>180</v>
      </c>
      <c r="K345" s="1">
        <v>7.0000000000000007E-2</v>
      </c>
      <c r="L345" s="1">
        <v>11340</v>
      </c>
      <c r="M345" s="1">
        <v>10546.2</v>
      </c>
      <c r="N345" s="1">
        <v>11808.32</v>
      </c>
      <c r="O345" s="1">
        <v>0.89</v>
      </c>
      <c r="P345" s="2" t="s">
        <v>73</v>
      </c>
      <c r="Q345" s="14" t="s">
        <v>34</v>
      </c>
    </row>
    <row r="346" spans="1:17" x14ac:dyDescent="0.45">
      <c r="A346" s="10">
        <v>46165</v>
      </c>
      <c r="B346" s="1" t="s">
        <v>417</v>
      </c>
      <c r="C346" s="1" t="s">
        <v>67</v>
      </c>
      <c r="D346" s="1" t="s">
        <v>21</v>
      </c>
      <c r="E346" s="1" t="s">
        <v>80</v>
      </c>
      <c r="F346" s="1" t="s">
        <v>56</v>
      </c>
      <c r="G346" s="1" t="s">
        <v>14</v>
      </c>
      <c r="H346" s="1" t="s">
        <v>27</v>
      </c>
      <c r="I346" s="1">
        <v>164</v>
      </c>
      <c r="J346" s="1">
        <v>120</v>
      </c>
      <c r="K346" s="1">
        <v>0.03</v>
      </c>
      <c r="L346" s="1">
        <v>19680</v>
      </c>
      <c r="M346" s="1">
        <v>19089.599999999999</v>
      </c>
      <c r="N346" s="1">
        <v>22340.78</v>
      </c>
      <c r="O346" s="1">
        <v>0.85</v>
      </c>
      <c r="P346" s="2" t="s">
        <v>52</v>
      </c>
      <c r="Q346" s="13" t="s">
        <v>32</v>
      </c>
    </row>
    <row r="347" spans="1:17" x14ac:dyDescent="0.45">
      <c r="A347" s="10">
        <v>46139</v>
      </c>
      <c r="B347" s="1" t="s">
        <v>418</v>
      </c>
      <c r="C347" s="1" t="s">
        <v>58</v>
      </c>
      <c r="D347" s="1" t="s">
        <v>25</v>
      </c>
      <c r="E347" s="1" t="s">
        <v>98</v>
      </c>
      <c r="F347" s="1" t="s">
        <v>56</v>
      </c>
      <c r="G347" s="1" t="s">
        <v>24</v>
      </c>
      <c r="H347" s="1" t="s">
        <v>30</v>
      </c>
      <c r="I347" s="1">
        <v>78</v>
      </c>
      <c r="J347" s="1">
        <v>40</v>
      </c>
      <c r="K347" s="1">
        <v>0.04</v>
      </c>
      <c r="L347" s="1">
        <v>3120</v>
      </c>
      <c r="M347" s="1">
        <v>2995.2</v>
      </c>
      <c r="N347" s="1">
        <v>3037.3</v>
      </c>
      <c r="O347" s="1">
        <v>0.99</v>
      </c>
      <c r="P347" s="2" t="s">
        <v>73</v>
      </c>
      <c r="Q347" s="14" t="s">
        <v>29</v>
      </c>
    </row>
    <row r="348" spans="1:17" x14ac:dyDescent="0.45">
      <c r="A348" s="10">
        <v>46145</v>
      </c>
      <c r="B348" s="1" t="s">
        <v>419</v>
      </c>
      <c r="C348" s="1" t="s">
        <v>49</v>
      </c>
      <c r="D348" s="1" t="s">
        <v>15</v>
      </c>
      <c r="E348" s="1" t="s">
        <v>62</v>
      </c>
      <c r="F348" s="1" t="s">
        <v>71</v>
      </c>
      <c r="G348" s="1" t="s">
        <v>20</v>
      </c>
      <c r="H348" s="1" t="s">
        <v>23</v>
      </c>
      <c r="I348" s="1">
        <v>93</v>
      </c>
      <c r="J348" s="1">
        <v>180</v>
      </c>
      <c r="K348" s="1">
        <v>0.02</v>
      </c>
      <c r="L348" s="1">
        <v>16740</v>
      </c>
      <c r="M348" s="1">
        <v>16405.2</v>
      </c>
      <c r="N348" s="1">
        <v>15384.59</v>
      </c>
      <c r="O348" s="1">
        <v>1.07</v>
      </c>
      <c r="P348" s="2" t="s">
        <v>52</v>
      </c>
      <c r="Q348" s="13" t="s">
        <v>32</v>
      </c>
    </row>
    <row r="349" spans="1:17" x14ac:dyDescent="0.45">
      <c r="A349" s="10">
        <v>46130</v>
      </c>
      <c r="B349" s="1" t="s">
        <v>420</v>
      </c>
      <c r="C349" s="1" t="s">
        <v>67</v>
      </c>
      <c r="D349" s="1" t="s">
        <v>28</v>
      </c>
      <c r="E349" s="1" t="s">
        <v>65</v>
      </c>
      <c r="F349" s="1" t="s">
        <v>95</v>
      </c>
      <c r="G349" s="1" t="s">
        <v>24</v>
      </c>
      <c r="H349" s="1" t="s">
        <v>35</v>
      </c>
      <c r="I349" s="1">
        <v>167</v>
      </c>
      <c r="J349" s="1">
        <v>30</v>
      </c>
      <c r="K349" s="1">
        <v>0.05</v>
      </c>
      <c r="L349" s="1">
        <v>5010</v>
      </c>
      <c r="M349" s="1">
        <v>4759.5</v>
      </c>
      <c r="N349" s="1">
        <v>5064.47</v>
      </c>
      <c r="O349" s="1">
        <v>0.94</v>
      </c>
      <c r="P349" s="2" t="s">
        <v>73</v>
      </c>
      <c r="Q349" s="14" t="s">
        <v>29</v>
      </c>
    </row>
    <row r="350" spans="1:17" x14ac:dyDescent="0.45">
      <c r="A350" s="10">
        <v>46040</v>
      </c>
      <c r="B350" s="1" t="s">
        <v>421</v>
      </c>
      <c r="C350" s="1" t="s">
        <v>58</v>
      </c>
      <c r="D350" s="1" t="s">
        <v>28</v>
      </c>
      <c r="E350" s="1" t="s">
        <v>82</v>
      </c>
      <c r="F350" s="1" t="s">
        <v>56</v>
      </c>
      <c r="G350" s="1" t="s">
        <v>14</v>
      </c>
      <c r="H350" s="1" t="s">
        <v>18</v>
      </c>
      <c r="I350" s="1">
        <v>74</v>
      </c>
      <c r="J350" s="1">
        <v>250</v>
      </c>
      <c r="K350" s="1">
        <v>0.15</v>
      </c>
      <c r="L350" s="1">
        <v>18500</v>
      </c>
      <c r="M350" s="1">
        <v>15725</v>
      </c>
      <c r="N350" s="1">
        <v>15348.96</v>
      </c>
      <c r="O350" s="1">
        <v>1.02</v>
      </c>
      <c r="P350" s="2" t="s">
        <v>52</v>
      </c>
      <c r="Q350" s="13" t="s">
        <v>16</v>
      </c>
    </row>
    <row r="351" spans="1:17" x14ac:dyDescent="0.45">
      <c r="A351" s="10">
        <v>46059</v>
      </c>
      <c r="B351" s="1" t="s">
        <v>422</v>
      </c>
      <c r="C351" s="1" t="s">
        <v>54</v>
      </c>
      <c r="D351" s="1" t="s">
        <v>15</v>
      </c>
      <c r="E351" s="1" t="s">
        <v>62</v>
      </c>
      <c r="F351" s="1" t="s">
        <v>56</v>
      </c>
      <c r="G351" s="1" t="s">
        <v>14</v>
      </c>
      <c r="H351" s="1" t="s">
        <v>18</v>
      </c>
      <c r="I351" s="1">
        <v>71</v>
      </c>
      <c r="J351" s="1">
        <v>250</v>
      </c>
      <c r="K351" s="1">
        <v>7.0000000000000007E-2</v>
      </c>
      <c r="L351" s="1">
        <v>17750</v>
      </c>
      <c r="M351" s="1">
        <v>16507.5</v>
      </c>
      <c r="N351" s="1">
        <v>15362.12</v>
      </c>
      <c r="O351" s="1">
        <v>1.07</v>
      </c>
      <c r="P351" s="2" t="s">
        <v>52</v>
      </c>
      <c r="Q351" s="14" t="s">
        <v>22</v>
      </c>
    </row>
    <row r="352" spans="1:17" x14ac:dyDescent="0.45">
      <c r="A352" s="10">
        <v>46059</v>
      </c>
      <c r="B352" s="1" t="s">
        <v>423</v>
      </c>
      <c r="C352" s="1" t="s">
        <v>64</v>
      </c>
      <c r="D352" s="1" t="s">
        <v>15</v>
      </c>
      <c r="E352" s="1" t="s">
        <v>55</v>
      </c>
      <c r="F352" s="1" t="s">
        <v>95</v>
      </c>
      <c r="G352" s="1" t="s">
        <v>20</v>
      </c>
      <c r="H352" s="1" t="s">
        <v>33</v>
      </c>
      <c r="I352" s="1">
        <v>169</v>
      </c>
      <c r="J352" s="1">
        <v>35</v>
      </c>
      <c r="K352" s="1">
        <v>0.01</v>
      </c>
      <c r="L352" s="1">
        <v>5915</v>
      </c>
      <c r="M352" s="1">
        <v>5855.85</v>
      </c>
      <c r="N352" s="1">
        <v>5448.65</v>
      </c>
      <c r="O352" s="1">
        <v>1.07</v>
      </c>
      <c r="P352" s="2" t="s">
        <v>52</v>
      </c>
      <c r="Q352" s="13" t="s">
        <v>22</v>
      </c>
    </row>
    <row r="353" spans="1:17" x14ac:dyDescent="0.45">
      <c r="A353" s="10">
        <v>46157</v>
      </c>
      <c r="B353" s="1" t="s">
        <v>424</v>
      </c>
      <c r="C353" s="1" t="s">
        <v>58</v>
      </c>
      <c r="D353" s="1" t="s">
        <v>21</v>
      </c>
      <c r="E353" s="1" t="s">
        <v>50</v>
      </c>
      <c r="F353" s="1" t="s">
        <v>95</v>
      </c>
      <c r="G353" s="1" t="s">
        <v>14</v>
      </c>
      <c r="H353" s="1" t="s">
        <v>18</v>
      </c>
      <c r="I353" s="1">
        <v>128</v>
      </c>
      <c r="J353" s="1">
        <v>250</v>
      </c>
      <c r="K353" s="1">
        <v>7.0000000000000007E-2</v>
      </c>
      <c r="L353" s="1">
        <v>32000</v>
      </c>
      <c r="M353" s="1">
        <v>29760</v>
      </c>
      <c r="N353" s="1">
        <v>26384.59</v>
      </c>
      <c r="O353" s="1">
        <v>1.1299999999999999</v>
      </c>
      <c r="P353" s="2" t="s">
        <v>52</v>
      </c>
      <c r="Q353" s="14" t="s">
        <v>32</v>
      </c>
    </row>
    <row r="354" spans="1:17" x14ac:dyDescent="0.45">
      <c r="A354" s="10">
        <v>46135</v>
      </c>
      <c r="B354" s="1" t="s">
        <v>425</v>
      </c>
      <c r="C354" s="1" t="s">
        <v>64</v>
      </c>
      <c r="D354" s="1" t="s">
        <v>21</v>
      </c>
      <c r="E354" s="1" t="s">
        <v>80</v>
      </c>
      <c r="F354" s="1" t="s">
        <v>51</v>
      </c>
      <c r="G354" s="1" t="s">
        <v>24</v>
      </c>
      <c r="H354" s="1" t="s">
        <v>30</v>
      </c>
      <c r="I354" s="1">
        <v>175</v>
      </c>
      <c r="J354" s="1">
        <v>40</v>
      </c>
      <c r="K354" s="1">
        <v>0.08</v>
      </c>
      <c r="L354" s="1">
        <v>7000</v>
      </c>
      <c r="M354" s="1">
        <v>6440</v>
      </c>
      <c r="N354" s="1">
        <v>5888.58</v>
      </c>
      <c r="O354" s="1">
        <v>1.0900000000000001</v>
      </c>
      <c r="P354" s="2" t="s">
        <v>52</v>
      </c>
      <c r="Q354" s="13" t="s">
        <v>29</v>
      </c>
    </row>
    <row r="355" spans="1:17" x14ac:dyDescent="0.45">
      <c r="A355" s="10">
        <v>46049</v>
      </c>
      <c r="B355" s="1" t="s">
        <v>426</v>
      </c>
      <c r="C355" s="1" t="s">
        <v>49</v>
      </c>
      <c r="D355" s="1" t="s">
        <v>25</v>
      </c>
      <c r="E355" s="1" t="s">
        <v>68</v>
      </c>
      <c r="F355" s="1" t="s">
        <v>56</v>
      </c>
      <c r="G355" s="1" t="s">
        <v>14</v>
      </c>
      <c r="H355" s="1" t="s">
        <v>18</v>
      </c>
      <c r="I355" s="1">
        <v>20</v>
      </c>
      <c r="J355" s="1">
        <v>250</v>
      </c>
      <c r="K355" s="1">
        <v>0.12</v>
      </c>
      <c r="L355" s="1">
        <v>5000</v>
      </c>
      <c r="M355" s="1">
        <v>4400</v>
      </c>
      <c r="N355" s="1">
        <v>3848.83</v>
      </c>
      <c r="O355" s="1">
        <v>1.1399999999999999</v>
      </c>
      <c r="P355" s="2" t="s">
        <v>52</v>
      </c>
      <c r="Q355" s="14" t="s">
        <v>16</v>
      </c>
    </row>
    <row r="356" spans="1:17" x14ac:dyDescent="0.45">
      <c r="A356" s="10">
        <v>46023</v>
      </c>
      <c r="B356" s="1" t="s">
        <v>427</v>
      </c>
      <c r="C356" s="1" t="s">
        <v>49</v>
      </c>
      <c r="D356" s="1" t="s">
        <v>15</v>
      </c>
      <c r="E356" s="1" t="s">
        <v>55</v>
      </c>
      <c r="F356" s="1" t="s">
        <v>60</v>
      </c>
      <c r="G356" s="1" t="s">
        <v>24</v>
      </c>
      <c r="H356" s="1" t="s">
        <v>35</v>
      </c>
      <c r="I356" s="1">
        <v>71</v>
      </c>
      <c r="J356" s="1">
        <v>30</v>
      </c>
      <c r="K356" s="1">
        <v>0.08</v>
      </c>
      <c r="L356" s="1">
        <v>2130</v>
      </c>
      <c r="M356" s="1">
        <v>1959.6</v>
      </c>
      <c r="N356" s="1">
        <v>1816.15</v>
      </c>
      <c r="O356" s="1">
        <v>1.08</v>
      </c>
      <c r="P356" s="2" t="s">
        <v>52</v>
      </c>
      <c r="Q356" s="13" t="s">
        <v>16</v>
      </c>
    </row>
    <row r="357" spans="1:17" x14ac:dyDescent="0.45">
      <c r="A357" s="10">
        <v>46065</v>
      </c>
      <c r="B357" s="1" t="s">
        <v>428</v>
      </c>
      <c r="C357" s="1" t="s">
        <v>64</v>
      </c>
      <c r="D357" s="1" t="s">
        <v>21</v>
      </c>
      <c r="E357" s="1" t="s">
        <v>50</v>
      </c>
      <c r="F357" s="1" t="s">
        <v>95</v>
      </c>
      <c r="G357" s="1" t="s">
        <v>20</v>
      </c>
      <c r="H357" s="1" t="s">
        <v>33</v>
      </c>
      <c r="I357" s="1">
        <v>53</v>
      </c>
      <c r="J357" s="1">
        <v>35</v>
      </c>
      <c r="K357" s="1">
        <v>0.04</v>
      </c>
      <c r="L357" s="1">
        <v>1855</v>
      </c>
      <c r="M357" s="1">
        <v>1780.8</v>
      </c>
      <c r="N357" s="1">
        <v>1578.77</v>
      </c>
      <c r="O357" s="1">
        <v>1.1299999999999999</v>
      </c>
      <c r="P357" s="2" t="s">
        <v>73</v>
      </c>
      <c r="Q357" s="14" t="s">
        <v>22</v>
      </c>
    </row>
    <row r="358" spans="1:17" x14ac:dyDescent="0.45">
      <c r="A358" s="10">
        <v>46148</v>
      </c>
      <c r="B358" s="1" t="s">
        <v>429</v>
      </c>
      <c r="C358" s="1" t="s">
        <v>64</v>
      </c>
      <c r="D358" s="1" t="s">
        <v>15</v>
      </c>
      <c r="E358" s="1" t="s">
        <v>55</v>
      </c>
      <c r="F358" s="1" t="s">
        <v>78</v>
      </c>
      <c r="G358" s="1" t="s">
        <v>14</v>
      </c>
      <c r="H358" s="1" t="s">
        <v>27</v>
      </c>
      <c r="I358" s="1">
        <v>132</v>
      </c>
      <c r="J358" s="1">
        <v>120</v>
      </c>
      <c r="K358" s="1">
        <v>0.12</v>
      </c>
      <c r="L358" s="1">
        <v>15840</v>
      </c>
      <c r="M358" s="1">
        <v>13939.2</v>
      </c>
      <c r="N358" s="1">
        <v>14607.2</v>
      </c>
      <c r="O358" s="1">
        <v>0.95</v>
      </c>
      <c r="P358" s="2" t="s">
        <v>52</v>
      </c>
      <c r="Q358" s="13" t="s">
        <v>32</v>
      </c>
    </row>
    <row r="359" spans="1:17" x14ac:dyDescent="0.45">
      <c r="A359" s="10">
        <v>46037</v>
      </c>
      <c r="B359" s="1" t="s">
        <v>430</v>
      </c>
      <c r="C359" s="1" t="s">
        <v>49</v>
      </c>
      <c r="D359" s="1" t="s">
        <v>21</v>
      </c>
      <c r="E359" s="1" t="s">
        <v>80</v>
      </c>
      <c r="F359" s="1" t="s">
        <v>95</v>
      </c>
      <c r="G359" s="1" t="s">
        <v>24</v>
      </c>
      <c r="H359" s="1" t="s">
        <v>35</v>
      </c>
      <c r="I359" s="1">
        <v>150</v>
      </c>
      <c r="J359" s="1">
        <v>30</v>
      </c>
      <c r="K359" s="1">
        <v>0.14000000000000001</v>
      </c>
      <c r="L359" s="1">
        <v>4500</v>
      </c>
      <c r="M359" s="1">
        <v>3870</v>
      </c>
      <c r="N359" s="1">
        <v>4293.13</v>
      </c>
      <c r="O359" s="1">
        <v>0.9</v>
      </c>
      <c r="P359" s="2" t="s">
        <v>73</v>
      </c>
      <c r="Q359" s="14" t="s">
        <v>16</v>
      </c>
    </row>
    <row r="360" spans="1:17" x14ac:dyDescent="0.45">
      <c r="A360" s="10">
        <v>46190</v>
      </c>
      <c r="B360" s="1" t="s">
        <v>431</v>
      </c>
      <c r="C360" s="1" t="s">
        <v>67</v>
      </c>
      <c r="D360" s="1" t="s">
        <v>15</v>
      </c>
      <c r="E360" s="1" t="s">
        <v>62</v>
      </c>
      <c r="F360" s="1" t="s">
        <v>60</v>
      </c>
      <c r="G360" s="1" t="s">
        <v>20</v>
      </c>
      <c r="H360" s="1" t="s">
        <v>33</v>
      </c>
      <c r="I360" s="1">
        <v>182</v>
      </c>
      <c r="J360" s="1">
        <v>35</v>
      </c>
      <c r="K360" s="1">
        <v>7.0000000000000007E-2</v>
      </c>
      <c r="L360" s="1">
        <v>6370</v>
      </c>
      <c r="M360" s="1">
        <v>5924.1</v>
      </c>
      <c r="N360" s="1">
        <v>6735.56</v>
      </c>
      <c r="O360" s="1">
        <v>0.88</v>
      </c>
      <c r="P360" s="2" t="s">
        <v>52</v>
      </c>
      <c r="Q360" s="13" t="s">
        <v>34</v>
      </c>
    </row>
    <row r="361" spans="1:17" x14ac:dyDescent="0.45">
      <c r="A361" s="10">
        <v>46164</v>
      </c>
      <c r="B361" s="1" t="s">
        <v>432</v>
      </c>
      <c r="C361" s="1" t="s">
        <v>67</v>
      </c>
      <c r="D361" s="1" t="s">
        <v>15</v>
      </c>
      <c r="E361" s="1" t="s">
        <v>62</v>
      </c>
      <c r="F361" s="1" t="s">
        <v>56</v>
      </c>
      <c r="G361" s="1" t="s">
        <v>14</v>
      </c>
      <c r="H361" s="1" t="s">
        <v>27</v>
      </c>
      <c r="I361" s="1">
        <v>97</v>
      </c>
      <c r="J361" s="1">
        <v>120</v>
      </c>
      <c r="K361" s="1">
        <v>0</v>
      </c>
      <c r="L361" s="1">
        <v>11640</v>
      </c>
      <c r="M361" s="1">
        <v>11640</v>
      </c>
      <c r="N361" s="1">
        <v>11164.89</v>
      </c>
      <c r="O361" s="1">
        <v>1.04</v>
      </c>
      <c r="P361" s="2" t="s">
        <v>73</v>
      </c>
      <c r="Q361" s="14" t="s">
        <v>32</v>
      </c>
    </row>
    <row r="362" spans="1:17" x14ac:dyDescent="0.45">
      <c r="A362" s="10">
        <v>46155</v>
      </c>
      <c r="B362" s="1" t="s">
        <v>433</v>
      </c>
      <c r="C362" s="1" t="s">
        <v>54</v>
      </c>
      <c r="D362" s="1" t="s">
        <v>21</v>
      </c>
      <c r="E362" s="1" t="s">
        <v>50</v>
      </c>
      <c r="F362" s="1" t="s">
        <v>51</v>
      </c>
      <c r="G362" s="1" t="s">
        <v>14</v>
      </c>
      <c r="H362" s="1" t="s">
        <v>27</v>
      </c>
      <c r="I362" s="1">
        <v>192</v>
      </c>
      <c r="J362" s="1">
        <v>120</v>
      </c>
      <c r="K362" s="1">
        <v>0.13</v>
      </c>
      <c r="L362" s="1">
        <v>23040</v>
      </c>
      <c r="M362" s="1">
        <v>20044.8</v>
      </c>
      <c r="N362" s="1">
        <v>17383.14</v>
      </c>
      <c r="O362" s="1">
        <v>1.1499999999999999</v>
      </c>
      <c r="P362" s="2" t="s">
        <v>73</v>
      </c>
      <c r="Q362" s="13" t="s">
        <v>32</v>
      </c>
    </row>
    <row r="363" spans="1:17" x14ac:dyDescent="0.45">
      <c r="A363" s="10">
        <v>46099</v>
      </c>
      <c r="B363" s="1" t="s">
        <v>434</v>
      </c>
      <c r="C363" s="1" t="s">
        <v>64</v>
      </c>
      <c r="D363" s="1" t="s">
        <v>25</v>
      </c>
      <c r="E363" s="1" t="s">
        <v>104</v>
      </c>
      <c r="F363" s="1" t="s">
        <v>95</v>
      </c>
      <c r="G363" s="1" t="s">
        <v>24</v>
      </c>
      <c r="H363" s="1" t="s">
        <v>35</v>
      </c>
      <c r="I363" s="1">
        <v>126</v>
      </c>
      <c r="J363" s="1">
        <v>30</v>
      </c>
      <c r="K363" s="1">
        <v>0.14000000000000001</v>
      </c>
      <c r="L363" s="1">
        <v>3780</v>
      </c>
      <c r="M363" s="1">
        <v>3250.8</v>
      </c>
      <c r="N363" s="1">
        <v>2818.72</v>
      </c>
      <c r="O363" s="1">
        <v>1.1499999999999999</v>
      </c>
      <c r="P363" s="2" t="s">
        <v>52</v>
      </c>
      <c r="Q363" s="14" t="s">
        <v>26</v>
      </c>
    </row>
    <row r="364" spans="1:17" x14ac:dyDescent="0.45">
      <c r="A364" s="10">
        <v>46079</v>
      </c>
      <c r="B364" s="1" t="s">
        <v>435</v>
      </c>
      <c r="C364" s="1" t="s">
        <v>58</v>
      </c>
      <c r="D364" s="1" t="s">
        <v>25</v>
      </c>
      <c r="E364" s="1" t="s">
        <v>68</v>
      </c>
      <c r="F364" s="1" t="s">
        <v>60</v>
      </c>
      <c r="G364" s="1" t="s">
        <v>20</v>
      </c>
      <c r="H364" s="1" t="s">
        <v>23</v>
      </c>
      <c r="I364" s="1">
        <v>22</v>
      </c>
      <c r="J364" s="1">
        <v>180</v>
      </c>
      <c r="K364" s="1">
        <v>0.14000000000000001</v>
      </c>
      <c r="L364" s="1">
        <v>3960</v>
      </c>
      <c r="M364" s="1">
        <v>3405.6</v>
      </c>
      <c r="N364" s="1">
        <v>3329.51</v>
      </c>
      <c r="O364" s="1">
        <v>1.02</v>
      </c>
      <c r="P364" s="2" t="s">
        <v>73</v>
      </c>
      <c r="Q364" s="13" t="s">
        <v>22</v>
      </c>
    </row>
    <row r="365" spans="1:17" x14ac:dyDescent="0.45">
      <c r="A365" s="10">
        <v>46069</v>
      </c>
      <c r="B365" s="1" t="s">
        <v>436</v>
      </c>
      <c r="C365" s="1" t="s">
        <v>64</v>
      </c>
      <c r="D365" s="1" t="s">
        <v>28</v>
      </c>
      <c r="E365" s="1" t="s">
        <v>59</v>
      </c>
      <c r="F365" s="1" t="s">
        <v>60</v>
      </c>
      <c r="G365" s="1" t="s">
        <v>20</v>
      </c>
      <c r="H365" s="1" t="s">
        <v>23</v>
      </c>
      <c r="I365" s="1">
        <v>131</v>
      </c>
      <c r="J365" s="1">
        <v>180</v>
      </c>
      <c r="K365" s="1">
        <v>0.1</v>
      </c>
      <c r="L365" s="1">
        <v>23580</v>
      </c>
      <c r="M365" s="1">
        <v>21222</v>
      </c>
      <c r="N365" s="1">
        <v>24922.22</v>
      </c>
      <c r="O365" s="1">
        <v>0.85</v>
      </c>
      <c r="P365" s="2" t="s">
        <v>73</v>
      </c>
      <c r="Q365" s="14" t="s">
        <v>22</v>
      </c>
    </row>
    <row r="366" spans="1:17" x14ac:dyDescent="0.45">
      <c r="A366" s="10">
        <v>46177</v>
      </c>
      <c r="B366" s="1" t="s">
        <v>437</v>
      </c>
      <c r="C366" s="1" t="s">
        <v>67</v>
      </c>
      <c r="D366" s="1" t="s">
        <v>25</v>
      </c>
      <c r="E366" s="1" t="s">
        <v>98</v>
      </c>
      <c r="F366" s="1" t="s">
        <v>56</v>
      </c>
      <c r="G366" s="1" t="s">
        <v>20</v>
      </c>
      <c r="H366" s="1" t="s">
        <v>23</v>
      </c>
      <c r="I366" s="1">
        <v>157</v>
      </c>
      <c r="J366" s="1">
        <v>180</v>
      </c>
      <c r="K366" s="1">
        <v>0.05</v>
      </c>
      <c r="L366" s="1">
        <v>28260</v>
      </c>
      <c r="M366" s="1">
        <v>26847</v>
      </c>
      <c r="N366" s="1">
        <v>27803.89</v>
      </c>
      <c r="O366" s="1">
        <v>0.97</v>
      </c>
      <c r="P366" s="2" t="s">
        <v>52</v>
      </c>
      <c r="Q366" s="13" t="s">
        <v>34</v>
      </c>
    </row>
    <row r="367" spans="1:17" x14ac:dyDescent="0.45">
      <c r="A367" s="10">
        <v>46099</v>
      </c>
      <c r="B367" s="1" t="s">
        <v>438</v>
      </c>
      <c r="C367" s="1" t="s">
        <v>64</v>
      </c>
      <c r="D367" s="1" t="s">
        <v>25</v>
      </c>
      <c r="E367" s="1" t="s">
        <v>98</v>
      </c>
      <c r="F367" s="1" t="s">
        <v>51</v>
      </c>
      <c r="G367" s="1" t="s">
        <v>20</v>
      </c>
      <c r="H367" s="1" t="s">
        <v>33</v>
      </c>
      <c r="I367" s="1">
        <v>83</v>
      </c>
      <c r="J367" s="1">
        <v>35</v>
      </c>
      <c r="K367" s="1">
        <v>7.0000000000000007E-2</v>
      </c>
      <c r="L367" s="1">
        <v>2905</v>
      </c>
      <c r="M367" s="1">
        <v>2701.65</v>
      </c>
      <c r="N367" s="1">
        <v>3025.42</v>
      </c>
      <c r="O367" s="1">
        <v>0.89</v>
      </c>
      <c r="P367" s="2" t="s">
        <v>52</v>
      </c>
      <c r="Q367" s="14" t="s">
        <v>26</v>
      </c>
    </row>
    <row r="368" spans="1:17" x14ac:dyDescent="0.45">
      <c r="A368" s="10">
        <v>46171</v>
      </c>
      <c r="B368" s="1" t="s">
        <v>439</v>
      </c>
      <c r="C368" s="1" t="s">
        <v>54</v>
      </c>
      <c r="D368" s="1" t="s">
        <v>21</v>
      </c>
      <c r="E368" s="1" t="s">
        <v>50</v>
      </c>
      <c r="F368" s="1" t="s">
        <v>71</v>
      </c>
      <c r="G368" s="1" t="s">
        <v>20</v>
      </c>
      <c r="H368" s="1" t="s">
        <v>23</v>
      </c>
      <c r="I368" s="1">
        <v>173</v>
      </c>
      <c r="J368" s="1">
        <v>180</v>
      </c>
      <c r="K368" s="1">
        <v>0.12</v>
      </c>
      <c r="L368" s="1">
        <v>31140</v>
      </c>
      <c r="M368" s="1">
        <v>27403.200000000001</v>
      </c>
      <c r="N368" s="1">
        <v>28247.07</v>
      </c>
      <c r="O368" s="1">
        <v>0.97</v>
      </c>
      <c r="P368" s="2" t="s">
        <v>52</v>
      </c>
      <c r="Q368" s="13" t="s">
        <v>32</v>
      </c>
    </row>
    <row r="369" spans="1:17" x14ac:dyDescent="0.45">
      <c r="A369" s="10">
        <v>46056</v>
      </c>
      <c r="B369" s="1" t="s">
        <v>440</v>
      </c>
      <c r="C369" s="1" t="s">
        <v>75</v>
      </c>
      <c r="D369" s="1" t="s">
        <v>21</v>
      </c>
      <c r="E369" s="1" t="s">
        <v>80</v>
      </c>
      <c r="F369" s="1" t="s">
        <v>95</v>
      </c>
      <c r="G369" s="1" t="s">
        <v>14</v>
      </c>
      <c r="H369" s="1" t="s">
        <v>27</v>
      </c>
      <c r="I369" s="1">
        <v>76</v>
      </c>
      <c r="J369" s="1">
        <v>120</v>
      </c>
      <c r="K369" s="1">
        <v>0.03</v>
      </c>
      <c r="L369" s="1">
        <v>9120</v>
      </c>
      <c r="M369" s="1">
        <v>8846.4</v>
      </c>
      <c r="N369" s="1">
        <v>9639.98</v>
      </c>
      <c r="O369" s="1">
        <v>0.92</v>
      </c>
      <c r="P369" s="2" t="s">
        <v>52</v>
      </c>
      <c r="Q369" s="14" t="s">
        <v>22</v>
      </c>
    </row>
    <row r="370" spans="1:17" x14ac:dyDescent="0.45">
      <c r="A370" s="10">
        <v>46126</v>
      </c>
      <c r="B370" s="1" t="s">
        <v>441</v>
      </c>
      <c r="C370" s="1" t="s">
        <v>75</v>
      </c>
      <c r="D370" s="1" t="s">
        <v>28</v>
      </c>
      <c r="E370" s="1" t="s">
        <v>65</v>
      </c>
      <c r="F370" s="1" t="s">
        <v>56</v>
      </c>
      <c r="G370" s="1" t="s">
        <v>24</v>
      </c>
      <c r="H370" s="1" t="s">
        <v>30</v>
      </c>
      <c r="I370" s="1">
        <v>17</v>
      </c>
      <c r="J370" s="1">
        <v>40</v>
      </c>
      <c r="K370" s="1">
        <v>0.08</v>
      </c>
      <c r="L370" s="1">
        <v>680</v>
      </c>
      <c r="M370" s="1">
        <v>625.6</v>
      </c>
      <c r="N370" s="1">
        <v>719.6</v>
      </c>
      <c r="O370" s="1">
        <v>0.87</v>
      </c>
      <c r="P370" s="2" t="s">
        <v>52</v>
      </c>
      <c r="Q370" s="13" t="s">
        <v>29</v>
      </c>
    </row>
    <row r="371" spans="1:17" x14ac:dyDescent="0.45">
      <c r="A371" s="10">
        <v>46044</v>
      </c>
      <c r="B371" s="1" t="s">
        <v>442</v>
      </c>
      <c r="C371" s="1" t="s">
        <v>67</v>
      </c>
      <c r="D371" s="1" t="s">
        <v>28</v>
      </c>
      <c r="E371" s="1" t="s">
        <v>82</v>
      </c>
      <c r="F371" s="1" t="s">
        <v>60</v>
      </c>
      <c r="G371" s="1" t="s">
        <v>20</v>
      </c>
      <c r="H371" s="1" t="s">
        <v>23</v>
      </c>
      <c r="I371" s="1">
        <v>16</v>
      </c>
      <c r="J371" s="1">
        <v>180</v>
      </c>
      <c r="K371" s="1">
        <v>0.01</v>
      </c>
      <c r="L371" s="1">
        <v>2880</v>
      </c>
      <c r="M371" s="1">
        <v>2851.2</v>
      </c>
      <c r="N371" s="1">
        <v>2421.12</v>
      </c>
      <c r="O371" s="1">
        <v>1.18</v>
      </c>
      <c r="P371" s="2" t="s">
        <v>73</v>
      </c>
      <c r="Q371" s="14" t="s">
        <v>16</v>
      </c>
    </row>
    <row r="372" spans="1:17" x14ac:dyDescent="0.45">
      <c r="A372" s="10">
        <v>46169</v>
      </c>
      <c r="B372" s="1" t="s">
        <v>443</v>
      </c>
      <c r="C372" s="1" t="s">
        <v>49</v>
      </c>
      <c r="D372" s="1" t="s">
        <v>15</v>
      </c>
      <c r="E372" s="1" t="s">
        <v>55</v>
      </c>
      <c r="F372" s="1" t="s">
        <v>95</v>
      </c>
      <c r="G372" s="1" t="s">
        <v>24</v>
      </c>
      <c r="H372" s="1" t="s">
        <v>30</v>
      </c>
      <c r="I372" s="1">
        <v>60</v>
      </c>
      <c r="J372" s="1">
        <v>40</v>
      </c>
      <c r="K372" s="1">
        <v>0.13</v>
      </c>
      <c r="L372" s="1">
        <v>2400</v>
      </c>
      <c r="M372" s="1">
        <v>2088</v>
      </c>
      <c r="N372" s="1">
        <v>2219.66</v>
      </c>
      <c r="O372" s="1">
        <v>0.94</v>
      </c>
      <c r="P372" s="2" t="s">
        <v>52</v>
      </c>
      <c r="Q372" s="13" t="s">
        <v>32</v>
      </c>
    </row>
    <row r="373" spans="1:17" x14ac:dyDescent="0.45">
      <c r="A373" s="10">
        <v>46188</v>
      </c>
      <c r="B373" s="1" t="s">
        <v>444</v>
      </c>
      <c r="C373" s="1" t="s">
        <v>64</v>
      </c>
      <c r="D373" s="1" t="s">
        <v>25</v>
      </c>
      <c r="E373" s="1" t="s">
        <v>98</v>
      </c>
      <c r="F373" s="1" t="s">
        <v>95</v>
      </c>
      <c r="G373" s="1" t="s">
        <v>14</v>
      </c>
      <c r="H373" s="1" t="s">
        <v>18</v>
      </c>
      <c r="I373" s="1">
        <v>200</v>
      </c>
      <c r="J373" s="1">
        <v>250</v>
      </c>
      <c r="K373" s="1">
        <v>0.11</v>
      </c>
      <c r="L373" s="1">
        <v>50000</v>
      </c>
      <c r="M373" s="1">
        <v>44500</v>
      </c>
      <c r="N373" s="1">
        <v>40180.480000000003</v>
      </c>
      <c r="O373" s="1">
        <v>1.1100000000000001</v>
      </c>
      <c r="P373" s="2" t="s">
        <v>73</v>
      </c>
      <c r="Q373" s="14" t="s">
        <v>34</v>
      </c>
    </row>
    <row r="374" spans="1:17" x14ac:dyDescent="0.45">
      <c r="A374" s="10">
        <v>46116</v>
      </c>
      <c r="B374" s="1" t="s">
        <v>445</v>
      </c>
      <c r="C374" s="1" t="s">
        <v>64</v>
      </c>
      <c r="D374" s="1" t="s">
        <v>21</v>
      </c>
      <c r="E374" s="1" t="s">
        <v>50</v>
      </c>
      <c r="F374" s="1" t="s">
        <v>51</v>
      </c>
      <c r="G374" s="1" t="s">
        <v>20</v>
      </c>
      <c r="H374" s="1" t="s">
        <v>33</v>
      </c>
      <c r="I374" s="1">
        <v>62</v>
      </c>
      <c r="J374" s="1">
        <v>35</v>
      </c>
      <c r="K374" s="1">
        <v>0.13</v>
      </c>
      <c r="L374" s="1">
        <v>2170</v>
      </c>
      <c r="M374" s="1">
        <v>1887.9</v>
      </c>
      <c r="N374" s="1">
        <v>2230.9699999999998</v>
      </c>
      <c r="O374" s="1">
        <v>0.85</v>
      </c>
      <c r="P374" s="2" t="s">
        <v>52</v>
      </c>
      <c r="Q374" s="13" t="s">
        <v>29</v>
      </c>
    </row>
    <row r="375" spans="1:17" x14ac:dyDescent="0.45">
      <c r="A375" s="10">
        <v>46080</v>
      </c>
      <c r="B375" s="1" t="s">
        <v>446</v>
      </c>
      <c r="C375" s="1" t="s">
        <v>54</v>
      </c>
      <c r="D375" s="1" t="s">
        <v>21</v>
      </c>
      <c r="E375" s="1" t="s">
        <v>80</v>
      </c>
      <c r="F375" s="1" t="s">
        <v>95</v>
      </c>
      <c r="G375" s="1" t="s">
        <v>24</v>
      </c>
      <c r="H375" s="1" t="s">
        <v>35</v>
      </c>
      <c r="I375" s="1">
        <v>194</v>
      </c>
      <c r="J375" s="1">
        <v>30</v>
      </c>
      <c r="K375" s="1">
        <v>0.02</v>
      </c>
      <c r="L375" s="1">
        <v>5820</v>
      </c>
      <c r="M375" s="1">
        <v>5703.6</v>
      </c>
      <c r="N375" s="1">
        <v>5673.24</v>
      </c>
      <c r="O375" s="1">
        <v>1.01</v>
      </c>
      <c r="P375" s="2" t="s">
        <v>52</v>
      </c>
      <c r="Q375" s="14" t="s">
        <v>22</v>
      </c>
    </row>
    <row r="376" spans="1:17" x14ac:dyDescent="0.45">
      <c r="A376" s="10">
        <v>46075</v>
      </c>
      <c r="B376" s="1" t="s">
        <v>447</v>
      </c>
      <c r="C376" s="1" t="s">
        <v>64</v>
      </c>
      <c r="D376" s="1" t="s">
        <v>21</v>
      </c>
      <c r="E376" s="1" t="s">
        <v>80</v>
      </c>
      <c r="F376" s="1" t="s">
        <v>78</v>
      </c>
      <c r="G376" s="1" t="s">
        <v>24</v>
      </c>
      <c r="H376" s="1" t="s">
        <v>30</v>
      </c>
      <c r="I376" s="1">
        <v>17</v>
      </c>
      <c r="J376" s="1">
        <v>40</v>
      </c>
      <c r="K376" s="1">
        <v>0.04</v>
      </c>
      <c r="L376" s="1">
        <v>680</v>
      </c>
      <c r="M376" s="1">
        <v>652.79999999999995</v>
      </c>
      <c r="N376" s="1">
        <v>575.11</v>
      </c>
      <c r="O376" s="1">
        <v>1.1399999999999999</v>
      </c>
      <c r="P376" s="2" t="s">
        <v>52</v>
      </c>
      <c r="Q376" s="13" t="s">
        <v>22</v>
      </c>
    </row>
    <row r="377" spans="1:17" x14ac:dyDescent="0.45">
      <c r="A377" s="10">
        <v>46093</v>
      </c>
      <c r="B377" s="1" t="s">
        <v>448</v>
      </c>
      <c r="C377" s="1" t="s">
        <v>54</v>
      </c>
      <c r="D377" s="1" t="s">
        <v>15</v>
      </c>
      <c r="E377" s="1" t="s">
        <v>62</v>
      </c>
      <c r="F377" s="1" t="s">
        <v>71</v>
      </c>
      <c r="G377" s="1" t="s">
        <v>20</v>
      </c>
      <c r="H377" s="1" t="s">
        <v>33</v>
      </c>
      <c r="I377" s="1">
        <v>5</v>
      </c>
      <c r="J377" s="1">
        <v>35</v>
      </c>
      <c r="K377" s="1">
        <v>7.0000000000000007E-2</v>
      </c>
      <c r="L377" s="1">
        <v>175</v>
      </c>
      <c r="M377" s="1">
        <v>162.75</v>
      </c>
      <c r="N377" s="1">
        <v>190.42</v>
      </c>
      <c r="O377" s="1">
        <v>0.85</v>
      </c>
      <c r="P377" s="2" t="s">
        <v>73</v>
      </c>
      <c r="Q377" s="14" t="s">
        <v>26</v>
      </c>
    </row>
    <row r="378" spans="1:17" x14ac:dyDescent="0.45">
      <c r="A378" s="10">
        <v>46142</v>
      </c>
      <c r="B378" s="1" t="s">
        <v>449</v>
      </c>
      <c r="C378" s="1" t="s">
        <v>64</v>
      </c>
      <c r="D378" s="1" t="s">
        <v>15</v>
      </c>
      <c r="E378" s="1" t="s">
        <v>62</v>
      </c>
      <c r="F378" s="1" t="s">
        <v>71</v>
      </c>
      <c r="G378" s="1" t="s">
        <v>14</v>
      </c>
      <c r="H378" s="1" t="s">
        <v>27</v>
      </c>
      <c r="I378" s="1">
        <v>12</v>
      </c>
      <c r="J378" s="1">
        <v>120</v>
      </c>
      <c r="K378" s="1">
        <v>0.11</v>
      </c>
      <c r="L378" s="1">
        <v>1440</v>
      </c>
      <c r="M378" s="1">
        <v>1281.5999999999999</v>
      </c>
      <c r="N378" s="1">
        <v>1116.94</v>
      </c>
      <c r="O378" s="1">
        <v>1.1499999999999999</v>
      </c>
      <c r="P378" s="2" t="s">
        <v>52</v>
      </c>
      <c r="Q378" s="13" t="s">
        <v>29</v>
      </c>
    </row>
    <row r="379" spans="1:17" x14ac:dyDescent="0.45">
      <c r="A379" s="10">
        <v>46024</v>
      </c>
      <c r="B379" s="1" t="s">
        <v>450</v>
      </c>
      <c r="C379" s="1" t="s">
        <v>58</v>
      </c>
      <c r="D379" s="1" t="s">
        <v>25</v>
      </c>
      <c r="E379" s="1" t="s">
        <v>98</v>
      </c>
      <c r="F379" s="1" t="s">
        <v>78</v>
      </c>
      <c r="G379" s="1" t="s">
        <v>24</v>
      </c>
      <c r="H379" s="1" t="s">
        <v>30</v>
      </c>
      <c r="I379" s="1">
        <v>163</v>
      </c>
      <c r="J379" s="1">
        <v>40</v>
      </c>
      <c r="K379" s="1">
        <v>0.13</v>
      </c>
      <c r="L379" s="1">
        <v>6520</v>
      </c>
      <c r="M379" s="1">
        <v>5672.4</v>
      </c>
      <c r="N379" s="1">
        <v>6785.09</v>
      </c>
      <c r="O379" s="1">
        <v>0.84</v>
      </c>
      <c r="P379" s="2" t="s">
        <v>52</v>
      </c>
      <c r="Q379" s="14" t="s">
        <v>16</v>
      </c>
    </row>
    <row r="380" spans="1:17" x14ac:dyDescent="0.45">
      <c r="A380" s="10">
        <v>46194</v>
      </c>
      <c r="B380" s="1" t="s">
        <v>451</v>
      </c>
      <c r="C380" s="1" t="s">
        <v>75</v>
      </c>
      <c r="D380" s="1" t="s">
        <v>15</v>
      </c>
      <c r="E380" s="1" t="s">
        <v>62</v>
      </c>
      <c r="F380" s="1" t="s">
        <v>95</v>
      </c>
      <c r="G380" s="1" t="s">
        <v>14</v>
      </c>
      <c r="H380" s="1" t="s">
        <v>27</v>
      </c>
      <c r="I380" s="1">
        <v>54</v>
      </c>
      <c r="J380" s="1">
        <v>120</v>
      </c>
      <c r="K380" s="1">
        <v>0.03</v>
      </c>
      <c r="L380" s="1">
        <v>6480</v>
      </c>
      <c r="M380" s="1">
        <v>6285.6</v>
      </c>
      <c r="N380" s="1">
        <v>7375.01</v>
      </c>
      <c r="O380" s="1">
        <v>0.85</v>
      </c>
      <c r="P380" s="2" t="s">
        <v>73</v>
      </c>
      <c r="Q380" s="13" t="s">
        <v>34</v>
      </c>
    </row>
    <row r="381" spans="1:17" x14ac:dyDescent="0.45">
      <c r="A381" s="10">
        <v>46066</v>
      </c>
      <c r="B381" s="1" t="s">
        <v>452</v>
      </c>
      <c r="C381" s="1" t="s">
        <v>75</v>
      </c>
      <c r="D381" s="1" t="s">
        <v>15</v>
      </c>
      <c r="E381" s="1" t="s">
        <v>62</v>
      </c>
      <c r="F381" s="1" t="s">
        <v>71</v>
      </c>
      <c r="G381" s="1" t="s">
        <v>20</v>
      </c>
      <c r="H381" s="1" t="s">
        <v>23</v>
      </c>
      <c r="I381" s="1">
        <v>190</v>
      </c>
      <c r="J381" s="1">
        <v>180</v>
      </c>
      <c r="K381" s="1">
        <v>0.09</v>
      </c>
      <c r="L381" s="1">
        <v>34200</v>
      </c>
      <c r="M381" s="1">
        <v>31122</v>
      </c>
      <c r="N381" s="1">
        <v>27651.02</v>
      </c>
      <c r="O381" s="1">
        <v>1.1299999999999999</v>
      </c>
      <c r="P381" s="2" t="s">
        <v>73</v>
      </c>
      <c r="Q381" s="14" t="s">
        <v>22</v>
      </c>
    </row>
    <row r="382" spans="1:17" x14ac:dyDescent="0.45">
      <c r="A382" s="10">
        <v>46158</v>
      </c>
      <c r="B382" s="1" t="s">
        <v>453</v>
      </c>
      <c r="C382" s="1" t="s">
        <v>75</v>
      </c>
      <c r="D382" s="1" t="s">
        <v>25</v>
      </c>
      <c r="E382" s="1" t="s">
        <v>98</v>
      </c>
      <c r="F382" s="1" t="s">
        <v>78</v>
      </c>
      <c r="G382" s="1" t="s">
        <v>20</v>
      </c>
      <c r="H382" s="1" t="s">
        <v>23</v>
      </c>
      <c r="I382" s="1">
        <v>92</v>
      </c>
      <c r="J382" s="1">
        <v>180</v>
      </c>
      <c r="K382" s="1">
        <v>0.06</v>
      </c>
      <c r="L382" s="1">
        <v>16560</v>
      </c>
      <c r="M382" s="1">
        <v>15566.4</v>
      </c>
      <c r="N382" s="1">
        <v>16062.87</v>
      </c>
      <c r="O382" s="1">
        <v>0.97</v>
      </c>
      <c r="P382" s="2" t="s">
        <v>73</v>
      </c>
      <c r="Q382" s="13" t="s">
        <v>32</v>
      </c>
    </row>
    <row r="383" spans="1:17" x14ac:dyDescent="0.45">
      <c r="A383" s="10">
        <v>46049</v>
      </c>
      <c r="B383" s="1" t="s">
        <v>454</v>
      </c>
      <c r="C383" s="1" t="s">
        <v>75</v>
      </c>
      <c r="D383" s="1" t="s">
        <v>15</v>
      </c>
      <c r="E383" s="1" t="s">
        <v>55</v>
      </c>
      <c r="F383" s="1" t="s">
        <v>51</v>
      </c>
      <c r="G383" s="1" t="s">
        <v>20</v>
      </c>
      <c r="H383" s="1" t="s">
        <v>23</v>
      </c>
      <c r="I383" s="1">
        <v>90</v>
      </c>
      <c r="J383" s="1">
        <v>180</v>
      </c>
      <c r="K383" s="1">
        <v>0.08</v>
      </c>
      <c r="L383" s="1">
        <v>16200</v>
      </c>
      <c r="M383" s="1">
        <v>14904</v>
      </c>
      <c r="N383" s="1">
        <v>16076.37</v>
      </c>
      <c r="O383" s="1">
        <v>0.93</v>
      </c>
      <c r="P383" s="2" t="s">
        <v>73</v>
      </c>
      <c r="Q383" s="14" t="s">
        <v>16</v>
      </c>
    </row>
    <row r="384" spans="1:17" x14ac:dyDescent="0.45">
      <c r="A384" s="10">
        <v>46200</v>
      </c>
      <c r="B384" s="1" t="s">
        <v>455</v>
      </c>
      <c r="C384" s="1" t="s">
        <v>54</v>
      </c>
      <c r="D384" s="1" t="s">
        <v>28</v>
      </c>
      <c r="E384" s="1" t="s">
        <v>82</v>
      </c>
      <c r="F384" s="1" t="s">
        <v>71</v>
      </c>
      <c r="G384" s="1" t="s">
        <v>14</v>
      </c>
      <c r="H384" s="1" t="s">
        <v>18</v>
      </c>
      <c r="I384" s="1">
        <v>185</v>
      </c>
      <c r="J384" s="1">
        <v>250</v>
      </c>
      <c r="K384" s="1">
        <v>0.13</v>
      </c>
      <c r="L384" s="1">
        <v>46250</v>
      </c>
      <c r="M384" s="1">
        <v>40237.5</v>
      </c>
      <c r="N384" s="1">
        <v>44906.78</v>
      </c>
      <c r="O384" s="1">
        <v>0.9</v>
      </c>
      <c r="P384" s="2" t="s">
        <v>52</v>
      </c>
      <c r="Q384" s="13" t="s">
        <v>34</v>
      </c>
    </row>
    <row r="385" spans="1:17" x14ac:dyDescent="0.45">
      <c r="A385" s="10">
        <v>46188</v>
      </c>
      <c r="B385" s="1" t="s">
        <v>456</v>
      </c>
      <c r="C385" s="1" t="s">
        <v>54</v>
      </c>
      <c r="D385" s="1" t="s">
        <v>15</v>
      </c>
      <c r="E385" s="1" t="s">
        <v>62</v>
      </c>
      <c r="F385" s="1" t="s">
        <v>95</v>
      </c>
      <c r="G385" s="1" t="s">
        <v>24</v>
      </c>
      <c r="H385" s="1" t="s">
        <v>35</v>
      </c>
      <c r="I385" s="1">
        <v>30</v>
      </c>
      <c r="J385" s="1">
        <v>30</v>
      </c>
      <c r="K385" s="1">
        <v>0.04</v>
      </c>
      <c r="L385" s="1">
        <v>900</v>
      </c>
      <c r="M385" s="1">
        <v>864</v>
      </c>
      <c r="N385" s="1">
        <v>1005.73</v>
      </c>
      <c r="O385" s="1">
        <v>0.86</v>
      </c>
      <c r="P385" s="2" t="s">
        <v>52</v>
      </c>
      <c r="Q385" s="14" t="s">
        <v>34</v>
      </c>
    </row>
    <row r="386" spans="1:17" x14ac:dyDescent="0.45">
      <c r="A386" s="10">
        <v>46135</v>
      </c>
      <c r="B386" s="1" t="s">
        <v>457</v>
      </c>
      <c r="C386" s="1" t="s">
        <v>58</v>
      </c>
      <c r="D386" s="1" t="s">
        <v>21</v>
      </c>
      <c r="E386" s="1" t="s">
        <v>50</v>
      </c>
      <c r="F386" s="1" t="s">
        <v>56</v>
      </c>
      <c r="G386" s="1" t="s">
        <v>14</v>
      </c>
      <c r="H386" s="1" t="s">
        <v>18</v>
      </c>
      <c r="I386" s="1">
        <v>191</v>
      </c>
      <c r="J386" s="1">
        <v>250</v>
      </c>
      <c r="K386" s="1">
        <v>0.06</v>
      </c>
      <c r="L386" s="1">
        <v>47750</v>
      </c>
      <c r="M386" s="1">
        <v>44885</v>
      </c>
      <c r="N386" s="1">
        <v>49529.43</v>
      </c>
      <c r="O386" s="1">
        <v>0.91</v>
      </c>
      <c r="P386" s="2" t="s">
        <v>52</v>
      </c>
      <c r="Q386" s="13" t="s">
        <v>29</v>
      </c>
    </row>
    <row r="387" spans="1:17" x14ac:dyDescent="0.45">
      <c r="A387" s="10">
        <v>46124</v>
      </c>
      <c r="B387" s="1" t="s">
        <v>458</v>
      </c>
      <c r="C387" s="1" t="s">
        <v>49</v>
      </c>
      <c r="D387" s="1" t="s">
        <v>21</v>
      </c>
      <c r="E387" s="1" t="s">
        <v>50</v>
      </c>
      <c r="F387" s="1" t="s">
        <v>78</v>
      </c>
      <c r="G387" s="1" t="s">
        <v>24</v>
      </c>
      <c r="H387" s="1" t="s">
        <v>30</v>
      </c>
      <c r="I387" s="1">
        <v>178</v>
      </c>
      <c r="J387" s="1">
        <v>40</v>
      </c>
      <c r="K387" s="1">
        <v>0.09</v>
      </c>
      <c r="L387" s="1">
        <v>7120</v>
      </c>
      <c r="M387" s="1">
        <v>6479.2</v>
      </c>
      <c r="N387" s="1">
        <v>7342.09</v>
      </c>
      <c r="O387" s="1">
        <v>0.88</v>
      </c>
      <c r="P387" s="2" t="s">
        <v>52</v>
      </c>
      <c r="Q387" s="14" t="s">
        <v>29</v>
      </c>
    </row>
    <row r="388" spans="1:17" x14ac:dyDescent="0.45">
      <c r="A388" s="10">
        <v>46040</v>
      </c>
      <c r="B388" s="1" t="s">
        <v>459</v>
      </c>
      <c r="C388" s="1" t="s">
        <v>54</v>
      </c>
      <c r="D388" s="1" t="s">
        <v>21</v>
      </c>
      <c r="E388" s="1" t="s">
        <v>80</v>
      </c>
      <c r="F388" s="1" t="s">
        <v>95</v>
      </c>
      <c r="G388" s="1" t="s">
        <v>14</v>
      </c>
      <c r="H388" s="1" t="s">
        <v>27</v>
      </c>
      <c r="I388" s="1">
        <v>117</v>
      </c>
      <c r="J388" s="1">
        <v>120</v>
      </c>
      <c r="K388" s="1">
        <v>0</v>
      </c>
      <c r="L388" s="1">
        <v>14040</v>
      </c>
      <c r="M388" s="1">
        <v>14040</v>
      </c>
      <c r="N388" s="1">
        <v>13657.09</v>
      </c>
      <c r="O388" s="1">
        <v>1.03</v>
      </c>
      <c r="P388" s="2" t="s">
        <v>52</v>
      </c>
      <c r="Q388" s="13" t="s">
        <v>16</v>
      </c>
    </row>
    <row r="389" spans="1:17" x14ac:dyDescent="0.45">
      <c r="A389" s="10">
        <v>46120</v>
      </c>
      <c r="B389" s="1" t="s">
        <v>460</v>
      </c>
      <c r="C389" s="1" t="s">
        <v>67</v>
      </c>
      <c r="D389" s="1" t="s">
        <v>21</v>
      </c>
      <c r="E389" s="1" t="s">
        <v>50</v>
      </c>
      <c r="F389" s="1" t="s">
        <v>51</v>
      </c>
      <c r="G389" s="1" t="s">
        <v>20</v>
      </c>
      <c r="H389" s="1" t="s">
        <v>23</v>
      </c>
      <c r="I389" s="1">
        <v>14</v>
      </c>
      <c r="J389" s="1">
        <v>180</v>
      </c>
      <c r="K389" s="1">
        <v>0.02</v>
      </c>
      <c r="L389" s="1">
        <v>2520</v>
      </c>
      <c r="M389" s="1">
        <v>2469.6</v>
      </c>
      <c r="N389" s="1">
        <v>2254.13</v>
      </c>
      <c r="O389" s="1">
        <v>1.1000000000000001</v>
      </c>
      <c r="P389" s="2" t="s">
        <v>73</v>
      </c>
      <c r="Q389" s="14" t="s">
        <v>29</v>
      </c>
    </row>
    <row r="390" spans="1:17" x14ac:dyDescent="0.45">
      <c r="A390" s="10">
        <v>46139</v>
      </c>
      <c r="B390" s="1" t="s">
        <v>461</v>
      </c>
      <c r="C390" s="1" t="s">
        <v>64</v>
      </c>
      <c r="D390" s="1" t="s">
        <v>28</v>
      </c>
      <c r="E390" s="1" t="s">
        <v>70</v>
      </c>
      <c r="F390" s="1" t="s">
        <v>78</v>
      </c>
      <c r="G390" s="1" t="s">
        <v>20</v>
      </c>
      <c r="H390" s="1" t="s">
        <v>33</v>
      </c>
      <c r="I390" s="1">
        <v>114</v>
      </c>
      <c r="J390" s="1">
        <v>35</v>
      </c>
      <c r="K390" s="1">
        <v>0.13</v>
      </c>
      <c r="L390" s="1">
        <v>3990</v>
      </c>
      <c r="M390" s="1">
        <v>3471.3</v>
      </c>
      <c r="N390" s="1">
        <v>3237.34</v>
      </c>
      <c r="O390" s="1">
        <v>1.07</v>
      </c>
      <c r="P390" s="2" t="s">
        <v>52</v>
      </c>
      <c r="Q390" s="13" t="s">
        <v>29</v>
      </c>
    </row>
    <row r="391" spans="1:17" x14ac:dyDescent="0.45">
      <c r="A391" s="10">
        <v>46203</v>
      </c>
      <c r="B391" s="1" t="s">
        <v>462</v>
      </c>
      <c r="C391" s="1" t="s">
        <v>54</v>
      </c>
      <c r="D391" s="1" t="s">
        <v>28</v>
      </c>
      <c r="E391" s="1" t="s">
        <v>59</v>
      </c>
      <c r="F391" s="1" t="s">
        <v>71</v>
      </c>
      <c r="G391" s="1" t="s">
        <v>14</v>
      </c>
      <c r="H391" s="1" t="s">
        <v>27</v>
      </c>
      <c r="I391" s="1">
        <v>56</v>
      </c>
      <c r="J391" s="1">
        <v>120</v>
      </c>
      <c r="K391" s="1">
        <v>0.01</v>
      </c>
      <c r="L391" s="1">
        <v>6720</v>
      </c>
      <c r="M391" s="1">
        <v>6652.8</v>
      </c>
      <c r="N391" s="1">
        <v>5516.67</v>
      </c>
      <c r="O391" s="1">
        <v>1.21</v>
      </c>
      <c r="P391" s="2" t="s">
        <v>73</v>
      </c>
      <c r="Q391" s="14" t="s">
        <v>34</v>
      </c>
    </row>
    <row r="392" spans="1:17" x14ac:dyDescent="0.45">
      <c r="A392" s="10">
        <v>46095</v>
      </c>
      <c r="B392" s="1" t="s">
        <v>463</v>
      </c>
      <c r="C392" s="1" t="s">
        <v>75</v>
      </c>
      <c r="D392" s="1" t="s">
        <v>25</v>
      </c>
      <c r="E392" s="1" t="s">
        <v>98</v>
      </c>
      <c r="F392" s="1" t="s">
        <v>51</v>
      </c>
      <c r="G392" s="1" t="s">
        <v>20</v>
      </c>
      <c r="H392" s="1" t="s">
        <v>33</v>
      </c>
      <c r="I392" s="1">
        <v>113</v>
      </c>
      <c r="J392" s="1">
        <v>35</v>
      </c>
      <c r="K392" s="1">
        <v>0</v>
      </c>
      <c r="L392" s="1">
        <v>3955</v>
      </c>
      <c r="M392" s="1">
        <v>3955</v>
      </c>
      <c r="N392" s="1">
        <v>4090.23</v>
      </c>
      <c r="O392" s="1">
        <v>0.97</v>
      </c>
      <c r="P392" s="2" t="s">
        <v>73</v>
      </c>
      <c r="Q392" s="13" t="s">
        <v>26</v>
      </c>
    </row>
    <row r="393" spans="1:17" x14ac:dyDescent="0.45">
      <c r="A393" s="10">
        <v>46132</v>
      </c>
      <c r="B393" s="1" t="s">
        <v>464</v>
      </c>
      <c r="C393" s="1" t="s">
        <v>64</v>
      </c>
      <c r="D393" s="1" t="s">
        <v>25</v>
      </c>
      <c r="E393" s="1" t="s">
        <v>104</v>
      </c>
      <c r="F393" s="1" t="s">
        <v>51</v>
      </c>
      <c r="G393" s="1" t="s">
        <v>24</v>
      </c>
      <c r="H393" s="1" t="s">
        <v>30</v>
      </c>
      <c r="I393" s="1">
        <v>89</v>
      </c>
      <c r="J393" s="1">
        <v>40</v>
      </c>
      <c r="K393" s="1">
        <v>0.13</v>
      </c>
      <c r="L393" s="1">
        <v>3560</v>
      </c>
      <c r="M393" s="1">
        <v>3097.2</v>
      </c>
      <c r="N393" s="1">
        <v>3661.38</v>
      </c>
      <c r="O393" s="1">
        <v>0.85</v>
      </c>
      <c r="P393" s="2" t="s">
        <v>52</v>
      </c>
      <c r="Q393" s="14" t="s">
        <v>29</v>
      </c>
    </row>
    <row r="394" spans="1:17" x14ac:dyDescent="0.45">
      <c r="A394" s="10">
        <v>46060</v>
      </c>
      <c r="B394" s="1" t="s">
        <v>465</v>
      </c>
      <c r="C394" s="1" t="s">
        <v>54</v>
      </c>
      <c r="D394" s="1" t="s">
        <v>25</v>
      </c>
      <c r="E394" s="1" t="s">
        <v>104</v>
      </c>
      <c r="F394" s="1" t="s">
        <v>60</v>
      </c>
      <c r="G394" s="1" t="s">
        <v>20</v>
      </c>
      <c r="H394" s="1" t="s">
        <v>23</v>
      </c>
      <c r="I394" s="1">
        <v>75</v>
      </c>
      <c r="J394" s="1">
        <v>180</v>
      </c>
      <c r="K394" s="1">
        <v>0.11</v>
      </c>
      <c r="L394" s="1">
        <v>13500</v>
      </c>
      <c r="M394" s="1">
        <v>12015</v>
      </c>
      <c r="N394" s="1">
        <v>13379.16</v>
      </c>
      <c r="O394" s="1">
        <v>0.9</v>
      </c>
      <c r="P394" s="2" t="s">
        <v>52</v>
      </c>
      <c r="Q394" s="13" t="s">
        <v>22</v>
      </c>
    </row>
    <row r="395" spans="1:17" x14ac:dyDescent="0.45">
      <c r="A395" s="10">
        <v>46129</v>
      </c>
      <c r="B395" s="1" t="s">
        <v>466</v>
      </c>
      <c r="C395" s="1" t="s">
        <v>67</v>
      </c>
      <c r="D395" s="1" t="s">
        <v>28</v>
      </c>
      <c r="E395" s="1" t="s">
        <v>82</v>
      </c>
      <c r="F395" s="1" t="s">
        <v>95</v>
      </c>
      <c r="G395" s="1" t="s">
        <v>14</v>
      </c>
      <c r="H395" s="1" t="s">
        <v>27</v>
      </c>
      <c r="I395" s="1">
        <v>114</v>
      </c>
      <c r="J395" s="1">
        <v>120</v>
      </c>
      <c r="K395" s="1">
        <v>0.06</v>
      </c>
      <c r="L395" s="1">
        <v>13680</v>
      </c>
      <c r="M395" s="1">
        <v>12859.2</v>
      </c>
      <c r="N395" s="1">
        <v>12227.63</v>
      </c>
      <c r="O395" s="1">
        <v>1.05</v>
      </c>
      <c r="P395" s="2" t="s">
        <v>73</v>
      </c>
      <c r="Q395" s="14" t="s">
        <v>29</v>
      </c>
    </row>
    <row r="396" spans="1:17" x14ac:dyDescent="0.45">
      <c r="A396" s="10">
        <v>46074</v>
      </c>
      <c r="B396" s="1" t="s">
        <v>467</v>
      </c>
      <c r="C396" s="1" t="s">
        <v>54</v>
      </c>
      <c r="D396" s="1" t="s">
        <v>15</v>
      </c>
      <c r="E396" s="1" t="s">
        <v>62</v>
      </c>
      <c r="F396" s="1" t="s">
        <v>51</v>
      </c>
      <c r="G396" s="1" t="s">
        <v>24</v>
      </c>
      <c r="H396" s="1" t="s">
        <v>35</v>
      </c>
      <c r="I396" s="1">
        <v>68</v>
      </c>
      <c r="J396" s="1">
        <v>30</v>
      </c>
      <c r="K396" s="1">
        <v>0.11</v>
      </c>
      <c r="L396" s="1">
        <v>2040</v>
      </c>
      <c r="M396" s="1">
        <v>1815.6</v>
      </c>
      <c r="N396" s="1">
        <v>1559</v>
      </c>
      <c r="O396" s="1">
        <v>1.1599999999999999</v>
      </c>
      <c r="P396" s="2" t="s">
        <v>73</v>
      </c>
      <c r="Q396" s="13" t="s">
        <v>22</v>
      </c>
    </row>
    <row r="397" spans="1:17" x14ac:dyDescent="0.45">
      <c r="A397" s="10">
        <v>46194</v>
      </c>
      <c r="B397" s="1" t="s">
        <v>468</v>
      </c>
      <c r="C397" s="1" t="s">
        <v>75</v>
      </c>
      <c r="D397" s="1" t="s">
        <v>25</v>
      </c>
      <c r="E397" s="1" t="s">
        <v>68</v>
      </c>
      <c r="F397" s="1" t="s">
        <v>56</v>
      </c>
      <c r="G397" s="1" t="s">
        <v>24</v>
      </c>
      <c r="H397" s="1" t="s">
        <v>30</v>
      </c>
      <c r="I397" s="1">
        <v>82</v>
      </c>
      <c r="J397" s="1">
        <v>40</v>
      </c>
      <c r="K397" s="1">
        <v>7.0000000000000007E-2</v>
      </c>
      <c r="L397" s="1">
        <v>3280</v>
      </c>
      <c r="M397" s="1">
        <v>3050.4</v>
      </c>
      <c r="N397" s="1">
        <v>3503.46</v>
      </c>
      <c r="O397" s="1">
        <v>0.87</v>
      </c>
      <c r="P397" s="2" t="s">
        <v>73</v>
      </c>
      <c r="Q397" s="14" t="s">
        <v>34</v>
      </c>
    </row>
    <row r="398" spans="1:17" x14ac:dyDescent="0.45">
      <c r="A398" s="10">
        <v>46183</v>
      </c>
      <c r="B398" s="1" t="s">
        <v>469</v>
      </c>
      <c r="C398" s="1" t="s">
        <v>58</v>
      </c>
      <c r="D398" s="1" t="s">
        <v>28</v>
      </c>
      <c r="E398" s="1" t="s">
        <v>70</v>
      </c>
      <c r="F398" s="1" t="s">
        <v>95</v>
      </c>
      <c r="G398" s="1" t="s">
        <v>20</v>
      </c>
      <c r="H398" s="1" t="s">
        <v>33</v>
      </c>
      <c r="I398" s="1">
        <v>19</v>
      </c>
      <c r="J398" s="1">
        <v>35</v>
      </c>
      <c r="K398" s="1">
        <v>0</v>
      </c>
      <c r="L398" s="1">
        <v>665</v>
      </c>
      <c r="M398" s="1">
        <v>665</v>
      </c>
      <c r="N398" s="1">
        <v>650.5</v>
      </c>
      <c r="O398" s="1">
        <v>1.02</v>
      </c>
      <c r="P398" s="2" t="s">
        <v>73</v>
      </c>
      <c r="Q398" s="13" t="s">
        <v>34</v>
      </c>
    </row>
    <row r="399" spans="1:17" x14ac:dyDescent="0.45">
      <c r="A399" s="10">
        <v>46103</v>
      </c>
      <c r="B399" s="1" t="s">
        <v>470</v>
      </c>
      <c r="C399" s="1" t="s">
        <v>75</v>
      </c>
      <c r="D399" s="1" t="s">
        <v>15</v>
      </c>
      <c r="E399" s="1" t="s">
        <v>62</v>
      </c>
      <c r="F399" s="1" t="s">
        <v>60</v>
      </c>
      <c r="G399" s="1" t="s">
        <v>24</v>
      </c>
      <c r="H399" s="1" t="s">
        <v>35</v>
      </c>
      <c r="I399" s="1">
        <v>177</v>
      </c>
      <c r="J399" s="1">
        <v>30</v>
      </c>
      <c r="K399" s="1">
        <v>0.12</v>
      </c>
      <c r="L399" s="1">
        <v>5310</v>
      </c>
      <c r="M399" s="1">
        <v>4672.8</v>
      </c>
      <c r="N399" s="1">
        <v>5413.69</v>
      </c>
      <c r="O399" s="1">
        <v>0.86</v>
      </c>
      <c r="P399" s="2" t="s">
        <v>73</v>
      </c>
      <c r="Q399" s="14" t="s">
        <v>26</v>
      </c>
    </row>
    <row r="400" spans="1:17" x14ac:dyDescent="0.45">
      <c r="A400" s="10">
        <v>46058</v>
      </c>
      <c r="B400" s="1" t="s">
        <v>471</v>
      </c>
      <c r="C400" s="1" t="s">
        <v>67</v>
      </c>
      <c r="D400" s="1" t="s">
        <v>21</v>
      </c>
      <c r="E400" s="1" t="s">
        <v>50</v>
      </c>
      <c r="F400" s="1" t="s">
        <v>71</v>
      </c>
      <c r="G400" s="1" t="s">
        <v>20</v>
      </c>
      <c r="H400" s="1" t="s">
        <v>23</v>
      </c>
      <c r="I400" s="1">
        <v>108</v>
      </c>
      <c r="J400" s="1">
        <v>180</v>
      </c>
      <c r="K400" s="1">
        <v>0.13</v>
      </c>
      <c r="L400" s="1">
        <v>19440</v>
      </c>
      <c r="M400" s="1">
        <v>16912.8</v>
      </c>
      <c r="N400" s="1">
        <v>20024.23</v>
      </c>
      <c r="O400" s="1">
        <v>0.84</v>
      </c>
      <c r="P400" s="2" t="s">
        <v>73</v>
      </c>
      <c r="Q400" s="13" t="s">
        <v>22</v>
      </c>
    </row>
    <row r="401" spans="1:17" x14ac:dyDescent="0.45">
      <c r="A401" s="10">
        <v>46118</v>
      </c>
      <c r="B401" s="1" t="s">
        <v>472</v>
      </c>
      <c r="C401" s="1" t="s">
        <v>67</v>
      </c>
      <c r="D401" s="1" t="s">
        <v>15</v>
      </c>
      <c r="E401" s="1" t="s">
        <v>55</v>
      </c>
      <c r="F401" s="1" t="s">
        <v>78</v>
      </c>
      <c r="G401" s="1" t="s">
        <v>24</v>
      </c>
      <c r="H401" s="1" t="s">
        <v>30</v>
      </c>
      <c r="I401" s="1">
        <v>50</v>
      </c>
      <c r="J401" s="1">
        <v>40</v>
      </c>
      <c r="K401" s="1">
        <v>0.01</v>
      </c>
      <c r="L401" s="1">
        <v>2000</v>
      </c>
      <c r="M401" s="1">
        <v>1980</v>
      </c>
      <c r="N401" s="1">
        <v>1751.79</v>
      </c>
      <c r="O401" s="1">
        <v>1.1299999999999999</v>
      </c>
      <c r="P401" s="2" t="s">
        <v>52</v>
      </c>
      <c r="Q401" s="14" t="s">
        <v>29</v>
      </c>
    </row>
    <row r="402" spans="1:17" x14ac:dyDescent="0.45">
      <c r="A402" s="10">
        <v>46127</v>
      </c>
      <c r="B402" s="1" t="s">
        <v>473</v>
      </c>
      <c r="C402" s="1" t="s">
        <v>54</v>
      </c>
      <c r="D402" s="1" t="s">
        <v>15</v>
      </c>
      <c r="E402" s="1" t="s">
        <v>62</v>
      </c>
      <c r="F402" s="1" t="s">
        <v>56</v>
      </c>
      <c r="G402" s="1" t="s">
        <v>14</v>
      </c>
      <c r="H402" s="1" t="s">
        <v>27</v>
      </c>
      <c r="I402" s="1">
        <v>123</v>
      </c>
      <c r="J402" s="1">
        <v>120</v>
      </c>
      <c r="K402" s="1">
        <v>0.05</v>
      </c>
      <c r="L402" s="1">
        <v>14760</v>
      </c>
      <c r="M402" s="1">
        <v>14022</v>
      </c>
      <c r="N402" s="1">
        <v>16312.8</v>
      </c>
      <c r="O402" s="1">
        <v>0.86</v>
      </c>
      <c r="P402" s="2" t="s">
        <v>73</v>
      </c>
      <c r="Q402" s="13" t="s">
        <v>29</v>
      </c>
    </row>
    <row r="403" spans="1:17" x14ac:dyDescent="0.45">
      <c r="A403" s="10">
        <v>46066</v>
      </c>
      <c r="B403" s="1" t="s">
        <v>474</v>
      </c>
      <c r="C403" s="1" t="s">
        <v>75</v>
      </c>
      <c r="D403" s="1" t="s">
        <v>25</v>
      </c>
      <c r="E403" s="1" t="s">
        <v>68</v>
      </c>
      <c r="F403" s="1" t="s">
        <v>78</v>
      </c>
      <c r="G403" s="1" t="s">
        <v>14</v>
      </c>
      <c r="H403" s="1" t="s">
        <v>27</v>
      </c>
      <c r="I403" s="1">
        <v>25</v>
      </c>
      <c r="J403" s="1">
        <v>120</v>
      </c>
      <c r="K403" s="1">
        <v>0.14000000000000001</v>
      </c>
      <c r="L403" s="1">
        <v>3000</v>
      </c>
      <c r="M403" s="1">
        <v>2580</v>
      </c>
      <c r="N403" s="1">
        <v>2640.77</v>
      </c>
      <c r="O403" s="1">
        <v>0.98</v>
      </c>
      <c r="P403" s="2" t="s">
        <v>73</v>
      </c>
      <c r="Q403" s="14" t="s">
        <v>22</v>
      </c>
    </row>
    <row r="404" spans="1:17" x14ac:dyDescent="0.45">
      <c r="A404" s="10">
        <v>46143</v>
      </c>
      <c r="B404" s="1" t="s">
        <v>475</v>
      </c>
      <c r="C404" s="1" t="s">
        <v>67</v>
      </c>
      <c r="D404" s="1" t="s">
        <v>21</v>
      </c>
      <c r="E404" s="1" t="s">
        <v>50</v>
      </c>
      <c r="F404" s="1" t="s">
        <v>71</v>
      </c>
      <c r="G404" s="1" t="s">
        <v>20</v>
      </c>
      <c r="H404" s="1" t="s">
        <v>33</v>
      </c>
      <c r="I404" s="1">
        <v>33</v>
      </c>
      <c r="J404" s="1">
        <v>35</v>
      </c>
      <c r="K404" s="1">
        <v>0.06</v>
      </c>
      <c r="L404" s="1">
        <v>1155</v>
      </c>
      <c r="M404" s="1">
        <v>1085.7</v>
      </c>
      <c r="N404" s="1">
        <v>918.74</v>
      </c>
      <c r="O404" s="1">
        <v>1.18</v>
      </c>
      <c r="P404" s="2" t="s">
        <v>52</v>
      </c>
      <c r="Q404" s="13" t="s">
        <v>32</v>
      </c>
    </row>
    <row r="405" spans="1:17" x14ac:dyDescent="0.45">
      <c r="A405" s="10">
        <v>46115</v>
      </c>
      <c r="B405" s="1" t="s">
        <v>476</v>
      </c>
      <c r="C405" s="1" t="s">
        <v>58</v>
      </c>
      <c r="D405" s="1" t="s">
        <v>21</v>
      </c>
      <c r="E405" s="1" t="s">
        <v>50</v>
      </c>
      <c r="F405" s="1" t="s">
        <v>51</v>
      </c>
      <c r="G405" s="1" t="s">
        <v>14</v>
      </c>
      <c r="H405" s="1" t="s">
        <v>18</v>
      </c>
      <c r="I405" s="1">
        <v>154</v>
      </c>
      <c r="J405" s="1">
        <v>250</v>
      </c>
      <c r="K405" s="1">
        <v>0.06</v>
      </c>
      <c r="L405" s="1">
        <v>38500</v>
      </c>
      <c r="M405" s="1">
        <v>36190</v>
      </c>
      <c r="N405" s="1">
        <v>31132.28</v>
      </c>
      <c r="O405" s="1">
        <v>1.1599999999999999</v>
      </c>
      <c r="P405" s="2" t="s">
        <v>73</v>
      </c>
      <c r="Q405" s="14" t="s">
        <v>29</v>
      </c>
    </row>
    <row r="406" spans="1:17" x14ac:dyDescent="0.45">
      <c r="A406" s="10">
        <v>46191</v>
      </c>
      <c r="B406" s="1" t="s">
        <v>477</v>
      </c>
      <c r="C406" s="1" t="s">
        <v>67</v>
      </c>
      <c r="D406" s="1" t="s">
        <v>15</v>
      </c>
      <c r="E406" s="1" t="s">
        <v>62</v>
      </c>
      <c r="F406" s="1" t="s">
        <v>95</v>
      </c>
      <c r="G406" s="1" t="s">
        <v>20</v>
      </c>
      <c r="H406" s="1" t="s">
        <v>23</v>
      </c>
      <c r="I406" s="1">
        <v>33</v>
      </c>
      <c r="J406" s="1">
        <v>180</v>
      </c>
      <c r="K406" s="1">
        <v>0.01</v>
      </c>
      <c r="L406" s="1">
        <v>5940</v>
      </c>
      <c r="M406" s="1">
        <v>5880.6</v>
      </c>
      <c r="N406" s="1">
        <v>4737.6099999999997</v>
      </c>
      <c r="O406" s="1">
        <v>1.24</v>
      </c>
      <c r="P406" s="2" t="s">
        <v>52</v>
      </c>
      <c r="Q406" s="13" t="s">
        <v>34</v>
      </c>
    </row>
    <row r="407" spans="1:17" x14ac:dyDescent="0.45">
      <c r="A407" s="10">
        <v>46184</v>
      </c>
      <c r="B407" s="1" t="s">
        <v>478</v>
      </c>
      <c r="C407" s="1" t="s">
        <v>75</v>
      </c>
      <c r="D407" s="1" t="s">
        <v>25</v>
      </c>
      <c r="E407" s="1" t="s">
        <v>98</v>
      </c>
      <c r="F407" s="1" t="s">
        <v>56</v>
      </c>
      <c r="G407" s="1" t="s">
        <v>20</v>
      </c>
      <c r="H407" s="1" t="s">
        <v>23</v>
      </c>
      <c r="I407" s="1">
        <v>5</v>
      </c>
      <c r="J407" s="1">
        <v>180</v>
      </c>
      <c r="K407" s="1">
        <v>0.08</v>
      </c>
      <c r="L407" s="1">
        <v>900</v>
      </c>
      <c r="M407" s="1">
        <v>828</v>
      </c>
      <c r="N407" s="1">
        <v>784.12</v>
      </c>
      <c r="O407" s="1">
        <v>1.06</v>
      </c>
      <c r="P407" s="2" t="s">
        <v>52</v>
      </c>
      <c r="Q407" s="14" t="s">
        <v>34</v>
      </c>
    </row>
    <row r="408" spans="1:17" x14ac:dyDescent="0.45">
      <c r="A408" s="10">
        <v>46047</v>
      </c>
      <c r="B408" s="1" t="s">
        <v>479</v>
      </c>
      <c r="C408" s="1" t="s">
        <v>75</v>
      </c>
      <c r="D408" s="1" t="s">
        <v>25</v>
      </c>
      <c r="E408" s="1" t="s">
        <v>68</v>
      </c>
      <c r="F408" s="1" t="s">
        <v>78</v>
      </c>
      <c r="G408" s="1" t="s">
        <v>24</v>
      </c>
      <c r="H408" s="1" t="s">
        <v>35</v>
      </c>
      <c r="I408" s="1">
        <v>100</v>
      </c>
      <c r="J408" s="1">
        <v>30</v>
      </c>
      <c r="K408" s="1">
        <v>7.0000000000000007E-2</v>
      </c>
      <c r="L408" s="1">
        <v>3000</v>
      </c>
      <c r="M408" s="1">
        <v>2790</v>
      </c>
      <c r="N408" s="1">
        <v>2349.17</v>
      </c>
      <c r="O408" s="1">
        <v>1.19</v>
      </c>
      <c r="P408" s="2" t="s">
        <v>73</v>
      </c>
      <c r="Q408" s="13" t="s">
        <v>16</v>
      </c>
    </row>
    <row r="409" spans="1:17" x14ac:dyDescent="0.45">
      <c r="A409" s="10">
        <v>46122</v>
      </c>
      <c r="B409" s="1" t="s">
        <v>480</v>
      </c>
      <c r="C409" s="1" t="s">
        <v>64</v>
      </c>
      <c r="D409" s="1" t="s">
        <v>28</v>
      </c>
      <c r="E409" s="1" t="s">
        <v>59</v>
      </c>
      <c r="F409" s="1" t="s">
        <v>95</v>
      </c>
      <c r="G409" s="1" t="s">
        <v>20</v>
      </c>
      <c r="H409" s="1" t="s">
        <v>33</v>
      </c>
      <c r="I409" s="1">
        <v>38</v>
      </c>
      <c r="J409" s="1">
        <v>35</v>
      </c>
      <c r="K409" s="1">
        <v>0.12</v>
      </c>
      <c r="L409" s="1">
        <v>1330</v>
      </c>
      <c r="M409" s="1">
        <v>1170.4000000000001</v>
      </c>
      <c r="N409" s="1">
        <v>1246.1500000000001</v>
      </c>
      <c r="O409" s="1">
        <v>0.94</v>
      </c>
      <c r="P409" s="2" t="s">
        <v>52</v>
      </c>
      <c r="Q409" s="14" t="s">
        <v>29</v>
      </c>
    </row>
    <row r="410" spans="1:17" x14ac:dyDescent="0.45">
      <c r="A410" s="10">
        <v>46114</v>
      </c>
      <c r="B410" s="1" t="s">
        <v>481</v>
      </c>
      <c r="C410" s="1" t="s">
        <v>58</v>
      </c>
      <c r="D410" s="1" t="s">
        <v>25</v>
      </c>
      <c r="E410" s="1" t="s">
        <v>104</v>
      </c>
      <c r="F410" s="1" t="s">
        <v>51</v>
      </c>
      <c r="G410" s="1" t="s">
        <v>14</v>
      </c>
      <c r="H410" s="1" t="s">
        <v>27</v>
      </c>
      <c r="I410" s="1">
        <v>8</v>
      </c>
      <c r="J410" s="1">
        <v>120</v>
      </c>
      <c r="K410" s="1">
        <v>0.11</v>
      </c>
      <c r="L410" s="1">
        <v>960</v>
      </c>
      <c r="M410" s="1">
        <v>854.4</v>
      </c>
      <c r="N410" s="1">
        <v>792.41</v>
      </c>
      <c r="O410" s="1">
        <v>1.08</v>
      </c>
      <c r="P410" s="2" t="s">
        <v>73</v>
      </c>
      <c r="Q410" s="13" t="s">
        <v>29</v>
      </c>
    </row>
    <row r="411" spans="1:17" x14ac:dyDescent="0.45">
      <c r="A411" s="10">
        <v>46174</v>
      </c>
      <c r="B411" s="1" t="s">
        <v>482</v>
      </c>
      <c r="C411" s="1" t="s">
        <v>54</v>
      </c>
      <c r="D411" s="1" t="s">
        <v>15</v>
      </c>
      <c r="E411" s="1" t="s">
        <v>55</v>
      </c>
      <c r="F411" s="1" t="s">
        <v>56</v>
      </c>
      <c r="G411" s="1" t="s">
        <v>20</v>
      </c>
      <c r="H411" s="1" t="s">
        <v>33</v>
      </c>
      <c r="I411" s="1">
        <v>200</v>
      </c>
      <c r="J411" s="1">
        <v>35</v>
      </c>
      <c r="K411" s="1">
        <v>0.15</v>
      </c>
      <c r="L411" s="1">
        <v>7000</v>
      </c>
      <c r="M411" s="1">
        <v>5950</v>
      </c>
      <c r="N411" s="1">
        <v>5577.74</v>
      </c>
      <c r="O411" s="1">
        <v>1.07</v>
      </c>
      <c r="P411" s="2" t="s">
        <v>73</v>
      </c>
      <c r="Q411" s="14" t="s">
        <v>34</v>
      </c>
    </row>
    <row r="412" spans="1:17" x14ac:dyDescent="0.45">
      <c r="A412" s="10">
        <v>46124</v>
      </c>
      <c r="B412" s="1" t="s">
        <v>483</v>
      </c>
      <c r="C412" s="1" t="s">
        <v>49</v>
      </c>
      <c r="D412" s="1" t="s">
        <v>21</v>
      </c>
      <c r="E412" s="1" t="s">
        <v>80</v>
      </c>
      <c r="F412" s="1" t="s">
        <v>51</v>
      </c>
      <c r="G412" s="1" t="s">
        <v>20</v>
      </c>
      <c r="H412" s="1" t="s">
        <v>33</v>
      </c>
      <c r="I412" s="1">
        <v>198</v>
      </c>
      <c r="J412" s="1">
        <v>35</v>
      </c>
      <c r="K412" s="1">
        <v>0.06</v>
      </c>
      <c r="L412" s="1">
        <v>6930</v>
      </c>
      <c r="M412" s="1">
        <v>6514.2</v>
      </c>
      <c r="N412" s="1">
        <v>7641.9</v>
      </c>
      <c r="O412" s="1">
        <v>0.85</v>
      </c>
      <c r="P412" s="2" t="s">
        <v>52</v>
      </c>
      <c r="Q412" s="13" t="s">
        <v>29</v>
      </c>
    </row>
    <row r="413" spans="1:17" x14ac:dyDescent="0.45">
      <c r="A413" s="10">
        <v>46103</v>
      </c>
      <c r="B413" s="1" t="s">
        <v>484</v>
      </c>
      <c r="C413" s="1" t="s">
        <v>67</v>
      </c>
      <c r="D413" s="1" t="s">
        <v>15</v>
      </c>
      <c r="E413" s="1" t="s">
        <v>55</v>
      </c>
      <c r="F413" s="1" t="s">
        <v>60</v>
      </c>
      <c r="G413" s="1" t="s">
        <v>20</v>
      </c>
      <c r="H413" s="1" t="s">
        <v>33</v>
      </c>
      <c r="I413" s="1">
        <v>162</v>
      </c>
      <c r="J413" s="1">
        <v>35</v>
      </c>
      <c r="K413" s="1">
        <v>7.0000000000000007E-2</v>
      </c>
      <c r="L413" s="1">
        <v>5670</v>
      </c>
      <c r="M413" s="1">
        <v>5273.1</v>
      </c>
      <c r="N413" s="1">
        <v>5274.05</v>
      </c>
      <c r="O413" s="1">
        <v>1</v>
      </c>
      <c r="P413" s="2" t="s">
        <v>73</v>
      </c>
      <c r="Q413" s="14" t="s">
        <v>26</v>
      </c>
    </row>
    <row r="414" spans="1:17" x14ac:dyDescent="0.45">
      <c r="A414" s="10">
        <v>46141</v>
      </c>
      <c r="B414" s="1" t="s">
        <v>485</v>
      </c>
      <c r="C414" s="1" t="s">
        <v>54</v>
      </c>
      <c r="D414" s="1" t="s">
        <v>25</v>
      </c>
      <c r="E414" s="1" t="s">
        <v>104</v>
      </c>
      <c r="F414" s="1" t="s">
        <v>71</v>
      </c>
      <c r="G414" s="1" t="s">
        <v>20</v>
      </c>
      <c r="H414" s="1" t="s">
        <v>23</v>
      </c>
      <c r="I414" s="1">
        <v>69</v>
      </c>
      <c r="J414" s="1">
        <v>180</v>
      </c>
      <c r="K414" s="1">
        <v>0.14000000000000001</v>
      </c>
      <c r="L414" s="1">
        <v>12420</v>
      </c>
      <c r="M414" s="1">
        <v>10681.2</v>
      </c>
      <c r="N414" s="1">
        <v>8984.67</v>
      </c>
      <c r="O414" s="1">
        <v>1.19</v>
      </c>
      <c r="P414" s="2" t="s">
        <v>73</v>
      </c>
      <c r="Q414" s="13" t="s">
        <v>29</v>
      </c>
    </row>
    <row r="415" spans="1:17" x14ac:dyDescent="0.45">
      <c r="A415" s="10">
        <v>46038</v>
      </c>
      <c r="B415" s="1" t="s">
        <v>486</v>
      </c>
      <c r="C415" s="1" t="s">
        <v>75</v>
      </c>
      <c r="D415" s="1" t="s">
        <v>28</v>
      </c>
      <c r="E415" s="1" t="s">
        <v>82</v>
      </c>
      <c r="F415" s="1" t="s">
        <v>78</v>
      </c>
      <c r="G415" s="1" t="s">
        <v>20</v>
      </c>
      <c r="H415" s="1" t="s">
        <v>23</v>
      </c>
      <c r="I415" s="1">
        <v>175</v>
      </c>
      <c r="J415" s="1">
        <v>180</v>
      </c>
      <c r="K415" s="1">
        <v>0.03</v>
      </c>
      <c r="L415" s="1">
        <v>31500</v>
      </c>
      <c r="M415" s="1">
        <v>30555</v>
      </c>
      <c r="N415" s="1">
        <v>36661.99</v>
      </c>
      <c r="O415" s="1">
        <v>0.83</v>
      </c>
      <c r="P415" s="2" t="s">
        <v>73</v>
      </c>
      <c r="Q415" s="14" t="s">
        <v>16</v>
      </c>
    </row>
    <row r="416" spans="1:17" x14ac:dyDescent="0.45">
      <c r="A416" s="10">
        <v>46091</v>
      </c>
      <c r="B416" s="1" t="s">
        <v>487</v>
      </c>
      <c r="C416" s="1" t="s">
        <v>58</v>
      </c>
      <c r="D416" s="1" t="s">
        <v>15</v>
      </c>
      <c r="E416" s="1" t="s">
        <v>55</v>
      </c>
      <c r="F416" s="1" t="s">
        <v>71</v>
      </c>
      <c r="G416" s="1" t="s">
        <v>20</v>
      </c>
      <c r="H416" s="1" t="s">
        <v>23</v>
      </c>
      <c r="I416" s="1">
        <v>68</v>
      </c>
      <c r="J416" s="1">
        <v>180</v>
      </c>
      <c r="K416" s="1">
        <v>0.02</v>
      </c>
      <c r="L416" s="1">
        <v>12240</v>
      </c>
      <c r="M416" s="1">
        <v>11995.2</v>
      </c>
      <c r="N416" s="1">
        <v>11003.36</v>
      </c>
      <c r="O416" s="1">
        <v>1.0900000000000001</v>
      </c>
      <c r="P416" s="2" t="s">
        <v>73</v>
      </c>
      <c r="Q416" s="13" t="s">
        <v>26</v>
      </c>
    </row>
    <row r="417" spans="1:17" x14ac:dyDescent="0.45">
      <c r="A417" s="10">
        <v>46040</v>
      </c>
      <c r="B417" s="1" t="s">
        <v>488</v>
      </c>
      <c r="C417" s="1" t="s">
        <v>49</v>
      </c>
      <c r="D417" s="1" t="s">
        <v>21</v>
      </c>
      <c r="E417" s="1" t="s">
        <v>80</v>
      </c>
      <c r="F417" s="1" t="s">
        <v>95</v>
      </c>
      <c r="G417" s="1" t="s">
        <v>24</v>
      </c>
      <c r="H417" s="1" t="s">
        <v>30</v>
      </c>
      <c r="I417" s="1">
        <v>121</v>
      </c>
      <c r="J417" s="1">
        <v>40</v>
      </c>
      <c r="K417" s="1">
        <v>0.02</v>
      </c>
      <c r="L417" s="1">
        <v>4840</v>
      </c>
      <c r="M417" s="1">
        <v>4743.2</v>
      </c>
      <c r="N417" s="1">
        <v>5216.83</v>
      </c>
      <c r="O417" s="1">
        <v>0.91</v>
      </c>
      <c r="P417" s="2" t="s">
        <v>73</v>
      </c>
      <c r="Q417" s="14" t="s">
        <v>16</v>
      </c>
    </row>
    <row r="418" spans="1:17" x14ac:dyDescent="0.45">
      <c r="A418" s="10">
        <v>46135</v>
      </c>
      <c r="B418" s="1" t="s">
        <v>489</v>
      </c>
      <c r="C418" s="1" t="s">
        <v>67</v>
      </c>
      <c r="D418" s="1" t="s">
        <v>25</v>
      </c>
      <c r="E418" s="1" t="s">
        <v>68</v>
      </c>
      <c r="F418" s="1" t="s">
        <v>95</v>
      </c>
      <c r="G418" s="1" t="s">
        <v>20</v>
      </c>
      <c r="H418" s="1" t="s">
        <v>33</v>
      </c>
      <c r="I418" s="1">
        <v>166</v>
      </c>
      <c r="J418" s="1">
        <v>35</v>
      </c>
      <c r="K418" s="1">
        <v>0.03</v>
      </c>
      <c r="L418" s="1">
        <v>5810</v>
      </c>
      <c r="M418" s="1">
        <v>5635.7</v>
      </c>
      <c r="N418" s="1">
        <v>5510.56</v>
      </c>
      <c r="O418" s="1">
        <v>1.02</v>
      </c>
      <c r="P418" s="2" t="s">
        <v>73</v>
      </c>
      <c r="Q418" s="13" t="s">
        <v>29</v>
      </c>
    </row>
    <row r="419" spans="1:17" x14ac:dyDescent="0.45">
      <c r="A419" s="10">
        <v>46042</v>
      </c>
      <c r="B419" s="1" t="s">
        <v>490</v>
      </c>
      <c r="C419" s="1" t="s">
        <v>64</v>
      </c>
      <c r="D419" s="1" t="s">
        <v>21</v>
      </c>
      <c r="E419" s="1" t="s">
        <v>80</v>
      </c>
      <c r="F419" s="1" t="s">
        <v>71</v>
      </c>
      <c r="G419" s="1" t="s">
        <v>14</v>
      </c>
      <c r="H419" s="1" t="s">
        <v>18</v>
      </c>
      <c r="I419" s="1">
        <v>14</v>
      </c>
      <c r="J419" s="1">
        <v>250</v>
      </c>
      <c r="K419" s="1">
        <v>7.0000000000000007E-2</v>
      </c>
      <c r="L419" s="1">
        <v>3500</v>
      </c>
      <c r="M419" s="1">
        <v>3255</v>
      </c>
      <c r="N419" s="1">
        <v>3580.65</v>
      </c>
      <c r="O419" s="1">
        <v>0.91</v>
      </c>
      <c r="P419" s="2" t="s">
        <v>52</v>
      </c>
      <c r="Q419" s="14" t="s">
        <v>16</v>
      </c>
    </row>
    <row r="420" spans="1:17" x14ac:dyDescent="0.45">
      <c r="A420" s="10">
        <v>46180</v>
      </c>
      <c r="B420" s="1" t="s">
        <v>491</v>
      </c>
      <c r="C420" s="1" t="s">
        <v>58</v>
      </c>
      <c r="D420" s="1" t="s">
        <v>21</v>
      </c>
      <c r="E420" s="1" t="s">
        <v>80</v>
      </c>
      <c r="F420" s="1" t="s">
        <v>95</v>
      </c>
      <c r="G420" s="1" t="s">
        <v>14</v>
      </c>
      <c r="H420" s="1" t="s">
        <v>27</v>
      </c>
      <c r="I420" s="1">
        <v>18</v>
      </c>
      <c r="J420" s="1">
        <v>120</v>
      </c>
      <c r="K420" s="1">
        <v>0.14000000000000001</v>
      </c>
      <c r="L420" s="1">
        <v>2160</v>
      </c>
      <c r="M420" s="1">
        <v>1857.6</v>
      </c>
      <c r="N420" s="1">
        <v>2138.08</v>
      </c>
      <c r="O420" s="1">
        <v>0.87</v>
      </c>
      <c r="P420" s="2" t="s">
        <v>73</v>
      </c>
      <c r="Q420" s="13" t="s">
        <v>34</v>
      </c>
    </row>
    <row r="421" spans="1:17" x14ac:dyDescent="0.45">
      <c r="A421" s="10">
        <v>46171</v>
      </c>
      <c r="B421" s="1" t="s">
        <v>492</v>
      </c>
      <c r="C421" s="1" t="s">
        <v>75</v>
      </c>
      <c r="D421" s="1" t="s">
        <v>28</v>
      </c>
      <c r="E421" s="1" t="s">
        <v>59</v>
      </c>
      <c r="F421" s="1" t="s">
        <v>56</v>
      </c>
      <c r="G421" s="1" t="s">
        <v>14</v>
      </c>
      <c r="H421" s="1" t="s">
        <v>27</v>
      </c>
      <c r="I421" s="1">
        <v>71</v>
      </c>
      <c r="J421" s="1">
        <v>120</v>
      </c>
      <c r="K421" s="1">
        <v>0.06</v>
      </c>
      <c r="L421" s="1">
        <v>8520</v>
      </c>
      <c r="M421" s="1">
        <v>8008.8</v>
      </c>
      <c r="N421" s="1">
        <v>6982</v>
      </c>
      <c r="O421" s="1">
        <v>1.1499999999999999</v>
      </c>
      <c r="P421" s="2" t="s">
        <v>73</v>
      </c>
      <c r="Q421" s="14" t="s">
        <v>32</v>
      </c>
    </row>
    <row r="422" spans="1:17" x14ac:dyDescent="0.45">
      <c r="A422" s="10">
        <v>46079</v>
      </c>
      <c r="B422" s="1" t="s">
        <v>493</v>
      </c>
      <c r="C422" s="1" t="s">
        <v>54</v>
      </c>
      <c r="D422" s="1" t="s">
        <v>21</v>
      </c>
      <c r="E422" s="1" t="s">
        <v>50</v>
      </c>
      <c r="F422" s="1" t="s">
        <v>78</v>
      </c>
      <c r="G422" s="1" t="s">
        <v>20</v>
      </c>
      <c r="H422" s="1" t="s">
        <v>23</v>
      </c>
      <c r="I422" s="1">
        <v>165</v>
      </c>
      <c r="J422" s="1">
        <v>180</v>
      </c>
      <c r="K422" s="1">
        <v>0.02</v>
      </c>
      <c r="L422" s="1">
        <v>29700</v>
      </c>
      <c r="M422" s="1">
        <v>29106</v>
      </c>
      <c r="N422" s="1">
        <v>29949.97</v>
      </c>
      <c r="O422" s="1">
        <v>0.97</v>
      </c>
      <c r="P422" s="2" t="s">
        <v>52</v>
      </c>
      <c r="Q422" s="13" t="s">
        <v>22</v>
      </c>
    </row>
    <row r="423" spans="1:17" x14ac:dyDescent="0.45">
      <c r="A423" s="10">
        <v>46199</v>
      </c>
      <c r="B423" s="1" t="s">
        <v>494</v>
      </c>
      <c r="C423" s="1" t="s">
        <v>75</v>
      </c>
      <c r="D423" s="1" t="s">
        <v>28</v>
      </c>
      <c r="E423" s="1" t="s">
        <v>70</v>
      </c>
      <c r="F423" s="1" t="s">
        <v>60</v>
      </c>
      <c r="G423" s="1" t="s">
        <v>24</v>
      </c>
      <c r="H423" s="1" t="s">
        <v>30</v>
      </c>
      <c r="I423" s="1">
        <v>22</v>
      </c>
      <c r="J423" s="1">
        <v>40</v>
      </c>
      <c r="K423" s="1">
        <v>0.04</v>
      </c>
      <c r="L423" s="1">
        <v>880</v>
      </c>
      <c r="M423" s="1">
        <v>844.8</v>
      </c>
      <c r="N423" s="1">
        <v>836.4</v>
      </c>
      <c r="O423" s="1">
        <v>1.01</v>
      </c>
      <c r="P423" s="2" t="s">
        <v>73</v>
      </c>
      <c r="Q423" s="14" t="s">
        <v>34</v>
      </c>
    </row>
    <row r="424" spans="1:17" x14ac:dyDescent="0.45">
      <c r="A424" s="10">
        <v>46190</v>
      </c>
      <c r="B424" s="1" t="s">
        <v>495</v>
      </c>
      <c r="C424" s="1" t="s">
        <v>67</v>
      </c>
      <c r="D424" s="1" t="s">
        <v>28</v>
      </c>
      <c r="E424" s="1" t="s">
        <v>70</v>
      </c>
      <c r="F424" s="1" t="s">
        <v>56</v>
      </c>
      <c r="G424" s="1" t="s">
        <v>14</v>
      </c>
      <c r="H424" s="1" t="s">
        <v>18</v>
      </c>
      <c r="I424" s="1">
        <v>22</v>
      </c>
      <c r="J424" s="1">
        <v>250</v>
      </c>
      <c r="K424" s="1">
        <v>0.11</v>
      </c>
      <c r="L424" s="1">
        <v>5500</v>
      </c>
      <c r="M424" s="1">
        <v>4895</v>
      </c>
      <c r="N424" s="1">
        <v>4714.4399999999996</v>
      </c>
      <c r="O424" s="1">
        <v>1.04</v>
      </c>
      <c r="P424" s="2" t="s">
        <v>73</v>
      </c>
      <c r="Q424" s="13" t="s">
        <v>34</v>
      </c>
    </row>
    <row r="425" spans="1:17" x14ac:dyDescent="0.45">
      <c r="A425" s="10">
        <v>46175</v>
      </c>
      <c r="B425" s="1" t="s">
        <v>496</v>
      </c>
      <c r="C425" s="1" t="s">
        <v>67</v>
      </c>
      <c r="D425" s="1" t="s">
        <v>28</v>
      </c>
      <c r="E425" s="1" t="s">
        <v>82</v>
      </c>
      <c r="F425" s="1" t="s">
        <v>56</v>
      </c>
      <c r="G425" s="1" t="s">
        <v>14</v>
      </c>
      <c r="H425" s="1" t="s">
        <v>27</v>
      </c>
      <c r="I425" s="1">
        <v>114</v>
      </c>
      <c r="J425" s="1">
        <v>120</v>
      </c>
      <c r="K425" s="1">
        <v>0.15</v>
      </c>
      <c r="L425" s="1">
        <v>13680</v>
      </c>
      <c r="M425" s="1">
        <v>11628</v>
      </c>
      <c r="N425" s="1">
        <v>10214.209999999999</v>
      </c>
      <c r="O425" s="1">
        <v>1.1399999999999999</v>
      </c>
      <c r="P425" s="2" t="s">
        <v>52</v>
      </c>
      <c r="Q425" s="14" t="s">
        <v>34</v>
      </c>
    </row>
    <row r="426" spans="1:17" x14ac:dyDescent="0.45">
      <c r="A426" s="10">
        <v>46137</v>
      </c>
      <c r="B426" s="1" t="s">
        <v>497</v>
      </c>
      <c r="C426" s="1" t="s">
        <v>64</v>
      </c>
      <c r="D426" s="1" t="s">
        <v>25</v>
      </c>
      <c r="E426" s="1" t="s">
        <v>98</v>
      </c>
      <c r="F426" s="1" t="s">
        <v>95</v>
      </c>
      <c r="G426" s="1" t="s">
        <v>24</v>
      </c>
      <c r="H426" s="1" t="s">
        <v>35</v>
      </c>
      <c r="I426" s="1">
        <v>27</v>
      </c>
      <c r="J426" s="1">
        <v>30</v>
      </c>
      <c r="K426" s="1">
        <v>0.09</v>
      </c>
      <c r="L426" s="1">
        <v>810</v>
      </c>
      <c r="M426" s="1">
        <v>737.1</v>
      </c>
      <c r="N426" s="1">
        <v>633.89</v>
      </c>
      <c r="O426" s="1">
        <v>1.1599999999999999</v>
      </c>
      <c r="P426" s="2" t="s">
        <v>73</v>
      </c>
      <c r="Q426" s="13" t="s">
        <v>29</v>
      </c>
    </row>
    <row r="427" spans="1:17" x14ac:dyDescent="0.45">
      <c r="A427" s="10">
        <v>46104</v>
      </c>
      <c r="B427" s="1" t="s">
        <v>498</v>
      </c>
      <c r="C427" s="1" t="s">
        <v>67</v>
      </c>
      <c r="D427" s="1" t="s">
        <v>15</v>
      </c>
      <c r="E427" s="1" t="s">
        <v>55</v>
      </c>
      <c r="F427" s="1" t="s">
        <v>56</v>
      </c>
      <c r="G427" s="1" t="s">
        <v>14</v>
      </c>
      <c r="H427" s="1" t="s">
        <v>18</v>
      </c>
      <c r="I427" s="1">
        <v>12</v>
      </c>
      <c r="J427" s="1">
        <v>250</v>
      </c>
      <c r="K427" s="1">
        <v>0.13</v>
      </c>
      <c r="L427" s="1">
        <v>3000</v>
      </c>
      <c r="M427" s="1">
        <v>2610</v>
      </c>
      <c r="N427" s="1">
        <v>3096.14</v>
      </c>
      <c r="O427" s="1">
        <v>0.84</v>
      </c>
      <c r="P427" s="2" t="s">
        <v>73</v>
      </c>
      <c r="Q427" s="14" t="s">
        <v>26</v>
      </c>
    </row>
    <row r="428" spans="1:17" x14ac:dyDescent="0.45">
      <c r="A428" s="10">
        <v>46078</v>
      </c>
      <c r="B428" s="1" t="s">
        <v>499</v>
      </c>
      <c r="C428" s="1" t="s">
        <v>64</v>
      </c>
      <c r="D428" s="1" t="s">
        <v>21</v>
      </c>
      <c r="E428" s="1" t="s">
        <v>50</v>
      </c>
      <c r="F428" s="1" t="s">
        <v>78</v>
      </c>
      <c r="G428" s="1" t="s">
        <v>24</v>
      </c>
      <c r="H428" s="1" t="s">
        <v>35</v>
      </c>
      <c r="I428" s="1">
        <v>161</v>
      </c>
      <c r="J428" s="1">
        <v>30</v>
      </c>
      <c r="K428" s="1">
        <v>0.12</v>
      </c>
      <c r="L428" s="1">
        <v>4830</v>
      </c>
      <c r="M428" s="1">
        <v>4250.3999999999996</v>
      </c>
      <c r="N428" s="1">
        <v>3697.27</v>
      </c>
      <c r="O428" s="1">
        <v>1.1499999999999999</v>
      </c>
      <c r="P428" s="2" t="s">
        <v>52</v>
      </c>
      <c r="Q428" s="13" t="s">
        <v>22</v>
      </c>
    </row>
    <row r="429" spans="1:17" x14ac:dyDescent="0.45">
      <c r="A429" s="10">
        <v>46199</v>
      </c>
      <c r="B429" s="1" t="s">
        <v>500</v>
      </c>
      <c r="C429" s="1" t="s">
        <v>64</v>
      </c>
      <c r="D429" s="1" t="s">
        <v>21</v>
      </c>
      <c r="E429" s="1" t="s">
        <v>50</v>
      </c>
      <c r="F429" s="1" t="s">
        <v>71</v>
      </c>
      <c r="G429" s="1" t="s">
        <v>14</v>
      </c>
      <c r="H429" s="1" t="s">
        <v>18</v>
      </c>
      <c r="I429" s="1">
        <v>98</v>
      </c>
      <c r="J429" s="1">
        <v>250</v>
      </c>
      <c r="K429" s="1">
        <v>0.01</v>
      </c>
      <c r="L429" s="1">
        <v>24500</v>
      </c>
      <c r="M429" s="1">
        <v>24255</v>
      </c>
      <c r="N429" s="1">
        <v>22367.96</v>
      </c>
      <c r="O429" s="1">
        <v>1.08</v>
      </c>
      <c r="P429" s="2" t="s">
        <v>52</v>
      </c>
      <c r="Q429" s="14" t="s">
        <v>34</v>
      </c>
    </row>
    <row r="430" spans="1:17" x14ac:dyDescent="0.45">
      <c r="A430" s="10">
        <v>46177</v>
      </c>
      <c r="B430" s="1" t="s">
        <v>501</v>
      </c>
      <c r="C430" s="1" t="s">
        <v>75</v>
      </c>
      <c r="D430" s="1" t="s">
        <v>25</v>
      </c>
      <c r="E430" s="1" t="s">
        <v>98</v>
      </c>
      <c r="F430" s="1" t="s">
        <v>51</v>
      </c>
      <c r="G430" s="1" t="s">
        <v>20</v>
      </c>
      <c r="H430" s="1" t="s">
        <v>23</v>
      </c>
      <c r="I430" s="1">
        <v>86</v>
      </c>
      <c r="J430" s="1">
        <v>180</v>
      </c>
      <c r="K430" s="1">
        <v>0.01</v>
      </c>
      <c r="L430" s="1">
        <v>15480</v>
      </c>
      <c r="M430" s="1">
        <v>15325.2</v>
      </c>
      <c r="N430" s="1">
        <v>15741.14</v>
      </c>
      <c r="O430" s="1">
        <v>0.97</v>
      </c>
      <c r="P430" s="2" t="s">
        <v>73</v>
      </c>
      <c r="Q430" s="13" t="s">
        <v>34</v>
      </c>
    </row>
    <row r="431" spans="1:17" x14ac:dyDescent="0.45">
      <c r="A431" s="10">
        <v>46070</v>
      </c>
      <c r="B431" s="1" t="s">
        <v>502</v>
      </c>
      <c r="C431" s="1" t="s">
        <v>75</v>
      </c>
      <c r="D431" s="1" t="s">
        <v>25</v>
      </c>
      <c r="E431" s="1" t="s">
        <v>104</v>
      </c>
      <c r="F431" s="1" t="s">
        <v>51</v>
      </c>
      <c r="G431" s="1" t="s">
        <v>14</v>
      </c>
      <c r="H431" s="1" t="s">
        <v>27</v>
      </c>
      <c r="I431" s="1">
        <v>100</v>
      </c>
      <c r="J431" s="1">
        <v>120</v>
      </c>
      <c r="K431" s="1">
        <v>0.1</v>
      </c>
      <c r="L431" s="1">
        <v>12000</v>
      </c>
      <c r="M431" s="1">
        <v>10800</v>
      </c>
      <c r="N431" s="1">
        <v>11687.07</v>
      </c>
      <c r="O431" s="1">
        <v>0.92</v>
      </c>
      <c r="P431" s="2" t="s">
        <v>52</v>
      </c>
      <c r="Q431" s="14" t="s">
        <v>22</v>
      </c>
    </row>
    <row r="432" spans="1:17" x14ac:dyDescent="0.45">
      <c r="A432" s="10">
        <v>46142</v>
      </c>
      <c r="B432" s="1" t="s">
        <v>503</v>
      </c>
      <c r="C432" s="1" t="s">
        <v>67</v>
      </c>
      <c r="D432" s="1" t="s">
        <v>21</v>
      </c>
      <c r="E432" s="1" t="s">
        <v>50</v>
      </c>
      <c r="F432" s="1" t="s">
        <v>78</v>
      </c>
      <c r="G432" s="1" t="s">
        <v>20</v>
      </c>
      <c r="H432" s="1" t="s">
        <v>23</v>
      </c>
      <c r="I432" s="1">
        <v>57</v>
      </c>
      <c r="J432" s="1">
        <v>180</v>
      </c>
      <c r="K432" s="1">
        <v>0.13</v>
      </c>
      <c r="L432" s="1">
        <v>10260</v>
      </c>
      <c r="M432" s="1">
        <v>8926.2000000000007</v>
      </c>
      <c r="N432" s="1">
        <v>8072.26</v>
      </c>
      <c r="O432" s="1">
        <v>1.1100000000000001</v>
      </c>
      <c r="P432" s="2" t="s">
        <v>52</v>
      </c>
      <c r="Q432" s="13" t="s">
        <v>29</v>
      </c>
    </row>
    <row r="433" spans="1:17" x14ac:dyDescent="0.45">
      <c r="A433" s="10">
        <v>46115</v>
      </c>
      <c r="B433" s="1" t="s">
        <v>504</v>
      </c>
      <c r="C433" s="1" t="s">
        <v>49</v>
      </c>
      <c r="D433" s="1" t="s">
        <v>15</v>
      </c>
      <c r="E433" s="1" t="s">
        <v>55</v>
      </c>
      <c r="F433" s="1" t="s">
        <v>71</v>
      </c>
      <c r="G433" s="1" t="s">
        <v>20</v>
      </c>
      <c r="H433" s="1" t="s">
        <v>33</v>
      </c>
      <c r="I433" s="1">
        <v>54</v>
      </c>
      <c r="J433" s="1">
        <v>35</v>
      </c>
      <c r="K433" s="1">
        <v>0.14000000000000001</v>
      </c>
      <c r="L433" s="1">
        <v>1890</v>
      </c>
      <c r="M433" s="1">
        <v>1625.4</v>
      </c>
      <c r="N433" s="1">
        <v>1404.32</v>
      </c>
      <c r="O433" s="1">
        <v>1.1599999999999999</v>
      </c>
      <c r="P433" s="2" t="s">
        <v>52</v>
      </c>
      <c r="Q433" s="14" t="s">
        <v>29</v>
      </c>
    </row>
    <row r="434" spans="1:17" x14ac:dyDescent="0.45">
      <c r="A434" s="10">
        <v>46066</v>
      </c>
      <c r="B434" s="1" t="s">
        <v>505</v>
      </c>
      <c r="C434" s="1" t="s">
        <v>67</v>
      </c>
      <c r="D434" s="1" t="s">
        <v>28</v>
      </c>
      <c r="E434" s="1" t="s">
        <v>82</v>
      </c>
      <c r="F434" s="1" t="s">
        <v>56</v>
      </c>
      <c r="G434" s="1" t="s">
        <v>14</v>
      </c>
      <c r="H434" s="1" t="s">
        <v>18</v>
      </c>
      <c r="I434" s="1">
        <v>102</v>
      </c>
      <c r="J434" s="1">
        <v>250</v>
      </c>
      <c r="K434" s="1">
        <v>0.06</v>
      </c>
      <c r="L434" s="1">
        <v>25500</v>
      </c>
      <c r="M434" s="1">
        <v>23970</v>
      </c>
      <c r="N434" s="1">
        <v>28362.69</v>
      </c>
      <c r="O434" s="1">
        <v>0.85</v>
      </c>
      <c r="P434" s="2" t="s">
        <v>73</v>
      </c>
      <c r="Q434" s="13" t="s">
        <v>22</v>
      </c>
    </row>
    <row r="435" spans="1:17" x14ac:dyDescent="0.45">
      <c r="A435" s="10">
        <v>46094</v>
      </c>
      <c r="B435" s="1" t="s">
        <v>506</v>
      </c>
      <c r="C435" s="1" t="s">
        <v>49</v>
      </c>
      <c r="D435" s="1" t="s">
        <v>21</v>
      </c>
      <c r="E435" s="1" t="s">
        <v>50</v>
      </c>
      <c r="F435" s="1" t="s">
        <v>51</v>
      </c>
      <c r="G435" s="1" t="s">
        <v>14</v>
      </c>
      <c r="H435" s="1" t="s">
        <v>27</v>
      </c>
      <c r="I435" s="1">
        <v>112</v>
      </c>
      <c r="J435" s="1">
        <v>120</v>
      </c>
      <c r="K435" s="1">
        <v>0.01</v>
      </c>
      <c r="L435" s="1">
        <v>13440</v>
      </c>
      <c r="M435" s="1">
        <v>13305.6</v>
      </c>
      <c r="N435" s="1">
        <v>12501.71</v>
      </c>
      <c r="O435" s="1">
        <v>1.06</v>
      </c>
      <c r="P435" s="2" t="s">
        <v>52</v>
      </c>
      <c r="Q435" s="14" t="s">
        <v>26</v>
      </c>
    </row>
    <row r="436" spans="1:17" x14ac:dyDescent="0.45">
      <c r="A436" s="10">
        <v>46186</v>
      </c>
      <c r="B436" s="1" t="s">
        <v>507</v>
      </c>
      <c r="C436" s="1" t="s">
        <v>49</v>
      </c>
      <c r="D436" s="1" t="s">
        <v>25</v>
      </c>
      <c r="E436" s="1" t="s">
        <v>104</v>
      </c>
      <c r="F436" s="1" t="s">
        <v>95</v>
      </c>
      <c r="G436" s="1" t="s">
        <v>24</v>
      </c>
      <c r="H436" s="1" t="s">
        <v>30</v>
      </c>
      <c r="I436" s="1">
        <v>98</v>
      </c>
      <c r="J436" s="1">
        <v>40</v>
      </c>
      <c r="K436" s="1">
        <v>0.14000000000000001</v>
      </c>
      <c r="L436" s="1">
        <v>3920</v>
      </c>
      <c r="M436" s="1">
        <v>3371.2</v>
      </c>
      <c r="N436" s="1">
        <v>2989.32</v>
      </c>
      <c r="O436" s="1">
        <v>1.1299999999999999</v>
      </c>
      <c r="P436" s="2" t="s">
        <v>52</v>
      </c>
      <c r="Q436" s="13" t="s">
        <v>34</v>
      </c>
    </row>
    <row r="437" spans="1:17" x14ac:dyDescent="0.45">
      <c r="A437" s="10">
        <v>46102</v>
      </c>
      <c r="B437" s="1" t="s">
        <v>508</v>
      </c>
      <c r="C437" s="1" t="s">
        <v>54</v>
      </c>
      <c r="D437" s="1" t="s">
        <v>15</v>
      </c>
      <c r="E437" s="1" t="s">
        <v>62</v>
      </c>
      <c r="F437" s="1" t="s">
        <v>56</v>
      </c>
      <c r="G437" s="1" t="s">
        <v>24</v>
      </c>
      <c r="H437" s="1" t="s">
        <v>35</v>
      </c>
      <c r="I437" s="1">
        <v>127</v>
      </c>
      <c r="J437" s="1">
        <v>30</v>
      </c>
      <c r="K437" s="1">
        <v>0</v>
      </c>
      <c r="L437" s="1">
        <v>3810</v>
      </c>
      <c r="M437" s="1">
        <v>3810</v>
      </c>
      <c r="N437" s="1">
        <v>3548.25</v>
      </c>
      <c r="O437" s="1">
        <v>1.07</v>
      </c>
      <c r="P437" s="2" t="s">
        <v>52</v>
      </c>
      <c r="Q437" s="14" t="s">
        <v>26</v>
      </c>
    </row>
    <row r="438" spans="1:17" x14ac:dyDescent="0.45">
      <c r="A438" s="10">
        <v>46137</v>
      </c>
      <c r="B438" s="1" t="s">
        <v>509</v>
      </c>
      <c r="C438" s="1" t="s">
        <v>64</v>
      </c>
      <c r="D438" s="1" t="s">
        <v>28</v>
      </c>
      <c r="E438" s="1" t="s">
        <v>70</v>
      </c>
      <c r="F438" s="1" t="s">
        <v>60</v>
      </c>
      <c r="G438" s="1" t="s">
        <v>20</v>
      </c>
      <c r="H438" s="1" t="s">
        <v>33</v>
      </c>
      <c r="I438" s="1">
        <v>18</v>
      </c>
      <c r="J438" s="1">
        <v>35</v>
      </c>
      <c r="K438" s="1">
        <v>0</v>
      </c>
      <c r="L438" s="1">
        <v>630</v>
      </c>
      <c r="M438" s="1">
        <v>630</v>
      </c>
      <c r="N438" s="1">
        <v>686.02</v>
      </c>
      <c r="O438" s="1">
        <v>0.92</v>
      </c>
      <c r="P438" s="2" t="s">
        <v>73</v>
      </c>
      <c r="Q438" s="13" t="s">
        <v>29</v>
      </c>
    </row>
    <row r="439" spans="1:17" x14ac:dyDescent="0.45">
      <c r="A439" s="10">
        <v>46078</v>
      </c>
      <c r="B439" s="1" t="s">
        <v>510</v>
      </c>
      <c r="C439" s="1" t="s">
        <v>64</v>
      </c>
      <c r="D439" s="1" t="s">
        <v>21</v>
      </c>
      <c r="E439" s="1" t="s">
        <v>50</v>
      </c>
      <c r="F439" s="1" t="s">
        <v>51</v>
      </c>
      <c r="G439" s="1" t="s">
        <v>20</v>
      </c>
      <c r="H439" s="1" t="s">
        <v>23</v>
      </c>
      <c r="I439" s="1">
        <v>171</v>
      </c>
      <c r="J439" s="1">
        <v>180</v>
      </c>
      <c r="K439" s="1">
        <v>0.06</v>
      </c>
      <c r="L439" s="1">
        <v>30780</v>
      </c>
      <c r="M439" s="1">
        <v>28933.200000000001</v>
      </c>
      <c r="N439" s="1">
        <v>25366.63</v>
      </c>
      <c r="O439" s="1">
        <v>1.1399999999999999</v>
      </c>
      <c r="P439" s="2" t="s">
        <v>73</v>
      </c>
      <c r="Q439" s="14" t="s">
        <v>22</v>
      </c>
    </row>
    <row r="440" spans="1:17" x14ac:dyDescent="0.45">
      <c r="A440" s="10">
        <v>46133</v>
      </c>
      <c r="B440" s="1" t="s">
        <v>511</v>
      </c>
      <c r="C440" s="1" t="s">
        <v>67</v>
      </c>
      <c r="D440" s="1" t="s">
        <v>25</v>
      </c>
      <c r="E440" s="1" t="s">
        <v>68</v>
      </c>
      <c r="F440" s="1" t="s">
        <v>60</v>
      </c>
      <c r="G440" s="1" t="s">
        <v>14</v>
      </c>
      <c r="H440" s="1" t="s">
        <v>27</v>
      </c>
      <c r="I440" s="1">
        <v>149</v>
      </c>
      <c r="J440" s="1">
        <v>120</v>
      </c>
      <c r="K440" s="1">
        <v>0.06</v>
      </c>
      <c r="L440" s="1">
        <v>17880</v>
      </c>
      <c r="M440" s="1">
        <v>16807.2</v>
      </c>
      <c r="N440" s="1">
        <v>16841.54</v>
      </c>
      <c r="O440" s="1">
        <v>1</v>
      </c>
      <c r="P440" s="2" t="s">
        <v>52</v>
      </c>
      <c r="Q440" s="13" t="s">
        <v>29</v>
      </c>
    </row>
    <row r="441" spans="1:17" x14ac:dyDescent="0.45">
      <c r="A441" s="10">
        <v>46153</v>
      </c>
      <c r="B441" s="1" t="s">
        <v>512</v>
      </c>
      <c r="C441" s="1" t="s">
        <v>54</v>
      </c>
      <c r="D441" s="1" t="s">
        <v>21</v>
      </c>
      <c r="E441" s="1" t="s">
        <v>80</v>
      </c>
      <c r="F441" s="1" t="s">
        <v>51</v>
      </c>
      <c r="G441" s="1" t="s">
        <v>14</v>
      </c>
      <c r="H441" s="1" t="s">
        <v>18</v>
      </c>
      <c r="I441" s="1">
        <v>195</v>
      </c>
      <c r="J441" s="1">
        <v>250</v>
      </c>
      <c r="K441" s="1">
        <v>7.0000000000000007E-2</v>
      </c>
      <c r="L441" s="1">
        <v>48750</v>
      </c>
      <c r="M441" s="1">
        <v>45337.5</v>
      </c>
      <c r="N441" s="1">
        <v>40887.870000000003</v>
      </c>
      <c r="O441" s="1">
        <v>1.1100000000000001</v>
      </c>
      <c r="P441" s="2" t="s">
        <v>73</v>
      </c>
      <c r="Q441" s="14" t="s">
        <v>32</v>
      </c>
    </row>
    <row r="442" spans="1:17" x14ac:dyDescent="0.45">
      <c r="A442" s="10">
        <v>46118</v>
      </c>
      <c r="B442" s="1" t="s">
        <v>513</v>
      </c>
      <c r="C442" s="1" t="s">
        <v>58</v>
      </c>
      <c r="D442" s="1" t="s">
        <v>21</v>
      </c>
      <c r="E442" s="1" t="s">
        <v>50</v>
      </c>
      <c r="F442" s="1" t="s">
        <v>51</v>
      </c>
      <c r="G442" s="1" t="s">
        <v>14</v>
      </c>
      <c r="H442" s="1" t="s">
        <v>27</v>
      </c>
      <c r="I442" s="1">
        <v>199</v>
      </c>
      <c r="J442" s="1">
        <v>120</v>
      </c>
      <c r="K442" s="1">
        <v>0.12</v>
      </c>
      <c r="L442" s="1">
        <v>23880</v>
      </c>
      <c r="M442" s="1">
        <v>21014.400000000001</v>
      </c>
      <c r="N442" s="1">
        <v>24027.79</v>
      </c>
      <c r="O442" s="1">
        <v>0.87</v>
      </c>
      <c r="P442" s="2" t="s">
        <v>52</v>
      </c>
      <c r="Q442" s="13" t="s">
        <v>29</v>
      </c>
    </row>
    <row r="443" spans="1:17" x14ac:dyDescent="0.45">
      <c r="A443" s="10">
        <v>46113</v>
      </c>
      <c r="B443" s="1" t="s">
        <v>514</v>
      </c>
      <c r="C443" s="1" t="s">
        <v>75</v>
      </c>
      <c r="D443" s="1" t="s">
        <v>25</v>
      </c>
      <c r="E443" s="1" t="s">
        <v>68</v>
      </c>
      <c r="F443" s="1" t="s">
        <v>71</v>
      </c>
      <c r="G443" s="1" t="s">
        <v>24</v>
      </c>
      <c r="H443" s="1" t="s">
        <v>35</v>
      </c>
      <c r="I443" s="1">
        <v>185</v>
      </c>
      <c r="J443" s="1">
        <v>30</v>
      </c>
      <c r="K443" s="1">
        <v>0.1</v>
      </c>
      <c r="L443" s="1">
        <v>5550</v>
      </c>
      <c r="M443" s="1">
        <v>4995</v>
      </c>
      <c r="N443" s="1">
        <v>4337.24</v>
      </c>
      <c r="O443" s="1">
        <v>1.1499999999999999</v>
      </c>
      <c r="P443" s="2" t="s">
        <v>73</v>
      </c>
      <c r="Q443" s="14" t="s">
        <v>29</v>
      </c>
    </row>
    <row r="444" spans="1:17" x14ac:dyDescent="0.45">
      <c r="A444" s="10">
        <v>46097</v>
      </c>
      <c r="B444" s="1" t="s">
        <v>515</v>
      </c>
      <c r="C444" s="1" t="s">
        <v>54</v>
      </c>
      <c r="D444" s="1" t="s">
        <v>15</v>
      </c>
      <c r="E444" s="1" t="s">
        <v>62</v>
      </c>
      <c r="F444" s="1" t="s">
        <v>56</v>
      </c>
      <c r="G444" s="1" t="s">
        <v>14</v>
      </c>
      <c r="H444" s="1" t="s">
        <v>27</v>
      </c>
      <c r="I444" s="1">
        <v>21</v>
      </c>
      <c r="J444" s="1">
        <v>120</v>
      </c>
      <c r="K444" s="1">
        <v>0.12</v>
      </c>
      <c r="L444" s="1">
        <v>2520</v>
      </c>
      <c r="M444" s="1">
        <v>2217.6</v>
      </c>
      <c r="N444" s="1">
        <v>2213.1</v>
      </c>
      <c r="O444" s="1">
        <v>1</v>
      </c>
      <c r="P444" s="2" t="s">
        <v>52</v>
      </c>
      <c r="Q444" s="13" t="s">
        <v>26</v>
      </c>
    </row>
    <row r="445" spans="1:17" x14ac:dyDescent="0.45">
      <c r="A445" s="10">
        <v>46108</v>
      </c>
      <c r="B445" s="1" t="s">
        <v>516</v>
      </c>
      <c r="C445" s="1" t="s">
        <v>54</v>
      </c>
      <c r="D445" s="1" t="s">
        <v>25</v>
      </c>
      <c r="E445" s="1" t="s">
        <v>68</v>
      </c>
      <c r="F445" s="1" t="s">
        <v>78</v>
      </c>
      <c r="G445" s="1" t="s">
        <v>24</v>
      </c>
      <c r="H445" s="1" t="s">
        <v>35</v>
      </c>
      <c r="I445" s="1">
        <v>60</v>
      </c>
      <c r="J445" s="1">
        <v>30</v>
      </c>
      <c r="K445" s="1">
        <v>0.04</v>
      </c>
      <c r="L445" s="1">
        <v>1800</v>
      </c>
      <c r="M445" s="1">
        <v>1728</v>
      </c>
      <c r="N445" s="1">
        <v>1719.43</v>
      </c>
      <c r="O445" s="1">
        <v>1</v>
      </c>
      <c r="P445" s="2" t="s">
        <v>73</v>
      </c>
      <c r="Q445" s="14" t="s">
        <v>26</v>
      </c>
    </row>
    <row r="446" spans="1:17" x14ac:dyDescent="0.45">
      <c r="A446" s="10">
        <v>46199</v>
      </c>
      <c r="B446" s="1" t="s">
        <v>517</v>
      </c>
      <c r="C446" s="1" t="s">
        <v>64</v>
      </c>
      <c r="D446" s="1" t="s">
        <v>28</v>
      </c>
      <c r="E446" s="1" t="s">
        <v>70</v>
      </c>
      <c r="F446" s="1" t="s">
        <v>56</v>
      </c>
      <c r="G446" s="1" t="s">
        <v>24</v>
      </c>
      <c r="H446" s="1" t="s">
        <v>30</v>
      </c>
      <c r="I446" s="1">
        <v>18</v>
      </c>
      <c r="J446" s="1">
        <v>40</v>
      </c>
      <c r="K446" s="1">
        <v>0.01</v>
      </c>
      <c r="L446" s="1">
        <v>720</v>
      </c>
      <c r="M446" s="1">
        <v>712.8</v>
      </c>
      <c r="N446" s="1">
        <v>705.32</v>
      </c>
      <c r="O446" s="1">
        <v>1.01</v>
      </c>
      <c r="P446" s="2" t="s">
        <v>52</v>
      </c>
      <c r="Q446" s="13" t="s">
        <v>34</v>
      </c>
    </row>
    <row r="447" spans="1:17" x14ac:dyDescent="0.45">
      <c r="A447" s="10">
        <v>46094</v>
      </c>
      <c r="B447" s="1" t="s">
        <v>518</v>
      </c>
      <c r="C447" s="1" t="s">
        <v>54</v>
      </c>
      <c r="D447" s="1" t="s">
        <v>21</v>
      </c>
      <c r="E447" s="1" t="s">
        <v>80</v>
      </c>
      <c r="F447" s="1" t="s">
        <v>95</v>
      </c>
      <c r="G447" s="1" t="s">
        <v>20</v>
      </c>
      <c r="H447" s="1" t="s">
        <v>33</v>
      </c>
      <c r="I447" s="1">
        <v>14</v>
      </c>
      <c r="J447" s="1">
        <v>35</v>
      </c>
      <c r="K447" s="1">
        <v>0.06</v>
      </c>
      <c r="L447" s="1">
        <v>490</v>
      </c>
      <c r="M447" s="1">
        <v>460.6</v>
      </c>
      <c r="N447" s="1">
        <v>397.19</v>
      </c>
      <c r="O447" s="1">
        <v>1.1599999999999999</v>
      </c>
      <c r="P447" s="2" t="s">
        <v>73</v>
      </c>
      <c r="Q447" s="14" t="s">
        <v>26</v>
      </c>
    </row>
    <row r="448" spans="1:17" x14ac:dyDescent="0.45">
      <c r="A448" s="10">
        <v>46065</v>
      </c>
      <c r="B448" s="1" t="s">
        <v>519</v>
      </c>
      <c r="C448" s="1" t="s">
        <v>58</v>
      </c>
      <c r="D448" s="1" t="s">
        <v>28</v>
      </c>
      <c r="E448" s="1" t="s">
        <v>65</v>
      </c>
      <c r="F448" s="1" t="s">
        <v>71</v>
      </c>
      <c r="G448" s="1" t="s">
        <v>24</v>
      </c>
      <c r="H448" s="1" t="s">
        <v>30</v>
      </c>
      <c r="I448" s="1">
        <v>146</v>
      </c>
      <c r="J448" s="1">
        <v>40</v>
      </c>
      <c r="K448" s="1">
        <v>7.0000000000000007E-2</v>
      </c>
      <c r="L448" s="1">
        <v>5840</v>
      </c>
      <c r="M448" s="1">
        <v>5431.2</v>
      </c>
      <c r="N448" s="1">
        <v>4499.42</v>
      </c>
      <c r="O448" s="1">
        <v>1.21</v>
      </c>
      <c r="P448" s="2" t="s">
        <v>52</v>
      </c>
      <c r="Q448" s="13" t="s">
        <v>22</v>
      </c>
    </row>
    <row r="449" spans="1:17" x14ac:dyDescent="0.45">
      <c r="A449" s="10">
        <v>46182</v>
      </c>
      <c r="B449" s="1" t="s">
        <v>520</v>
      </c>
      <c r="C449" s="1" t="s">
        <v>54</v>
      </c>
      <c r="D449" s="1" t="s">
        <v>28</v>
      </c>
      <c r="E449" s="1" t="s">
        <v>65</v>
      </c>
      <c r="F449" s="1" t="s">
        <v>78</v>
      </c>
      <c r="G449" s="1" t="s">
        <v>24</v>
      </c>
      <c r="H449" s="1" t="s">
        <v>30</v>
      </c>
      <c r="I449" s="1">
        <v>166</v>
      </c>
      <c r="J449" s="1">
        <v>40</v>
      </c>
      <c r="K449" s="1">
        <v>0.11</v>
      </c>
      <c r="L449" s="1">
        <v>6640</v>
      </c>
      <c r="M449" s="1">
        <v>5909.6</v>
      </c>
      <c r="N449" s="1">
        <v>6762.96</v>
      </c>
      <c r="O449" s="1">
        <v>0.87</v>
      </c>
      <c r="P449" s="2" t="s">
        <v>52</v>
      </c>
      <c r="Q449" s="14" t="s">
        <v>34</v>
      </c>
    </row>
    <row r="450" spans="1:17" x14ac:dyDescent="0.45">
      <c r="A450" s="10">
        <v>46049</v>
      </c>
      <c r="B450" s="1" t="s">
        <v>521</v>
      </c>
      <c r="C450" s="1" t="s">
        <v>58</v>
      </c>
      <c r="D450" s="1" t="s">
        <v>15</v>
      </c>
      <c r="E450" s="1" t="s">
        <v>62</v>
      </c>
      <c r="F450" s="1" t="s">
        <v>78</v>
      </c>
      <c r="G450" s="1" t="s">
        <v>14</v>
      </c>
      <c r="H450" s="1" t="s">
        <v>27</v>
      </c>
      <c r="I450" s="1">
        <v>55</v>
      </c>
      <c r="J450" s="1">
        <v>120</v>
      </c>
      <c r="K450" s="1">
        <v>0</v>
      </c>
      <c r="L450" s="1">
        <v>6600</v>
      </c>
      <c r="M450" s="1">
        <v>6600</v>
      </c>
      <c r="N450" s="1">
        <v>7078.09</v>
      </c>
      <c r="O450" s="1">
        <v>0.93</v>
      </c>
      <c r="P450" s="2" t="s">
        <v>52</v>
      </c>
      <c r="Q450" s="13" t="s">
        <v>16</v>
      </c>
    </row>
    <row r="451" spans="1:17" x14ac:dyDescent="0.45">
      <c r="A451" s="10">
        <v>46058</v>
      </c>
      <c r="B451" s="1" t="s">
        <v>522</v>
      </c>
      <c r="C451" s="1" t="s">
        <v>58</v>
      </c>
      <c r="D451" s="1" t="s">
        <v>25</v>
      </c>
      <c r="E451" s="1" t="s">
        <v>104</v>
      </c>
      <c r="F451" s="1" t="s">
        <v>51</v>
      </c>
      <c r="G451" s="1" t="s">
        <v>14</v>
      </c>
      <c r="H451" s="1" t="s">
        <v>27</v>
      </c>
      <c r="I451" s="1">
        <v>62</v>
      </c>
      <c r="J451" s="1">
        <v>120</v>
      </c>
      <c r="K451" s="1">
        <v>0.13</v>
      </c>
      <c r="L451" s="1">
        <v>7440</v>
      </c>
      <c r="M451" s="1">
        <v>6472.8</v>
      </c>
      <c r="N451" s="1">
        <v>5403.23</v>
      </c>
      <c r="O451" s="1">
        <v>1.2</v>
      </c>
      <c r="P451" s="2" t="s">
        <v>52</v>
      </c>
      <c r="Q451" s="14" t="s">
        <v>22</v>
      </c>
    </row>
    <row r="452" spans="1:17" x14ac:dyDescent="0.45">
      <c r="A452" s="10">
        <v>46142</v>
      </c>
      <c r="B452" s="1" t="s">
        <v>523</v>
      </c>
      <c r="C452" s="1" t="s">
        <v>64</v>
      </c>
      <c r="D452" s="1" t="s">
        <v>21</v>
      </c>
      <c r="E452" s="1" t="s">
        <v>80</v>
      </c>
      <c r="F452" s="1" t="s">
        <v>51</v>
      </c>
      <c r="G452" s="1" t="s">
        <v>20</v>
      </c>
      <c r="H452" s="1" t="s">
        <v>33</v>
      </c>
      <c r="I452" s="1">
        <v>16</v>
      </c>
      <c r="J452" s="1">
        <v>35</v>
      </c>
      <c r="K452" s="1">
        <v>0.06</v>
      </c>
      <c r="L452" s="1">
        <v>560</v>
      </c>
      <c r="M452" s="1">
        <v>526.4</v>
      </c>
      <c r="N452" s="1">
        <v>596.66</v>
      </c>
      <c r="O452" s="1">
        <v>0.88</v>
      </c>
      <c r="P452" s="2" t="s">
        <v>52</v>
      </c>
      <c r="Q452" s="13" t="s">
        <v>29</v>
      </c>
    </row>
    <row r="453" spans="1:17" x14ac:dyDescent="0.45">
      <c r="A453" s="10">
        <v>46065</v>
      </c>
      <c r="B453" s="1" t="s">
        <v>524</v>
      </c>
      <c r="C453" s="1" t="s">
        <v>64</v>
      </c>
      <c r="D453" s="1" t="s">
        <v>21</v>
      </c>
      <c r="E453" s="1" t="s">
        <v>80</v>
      </c>
      <c r="F453" s="1" t="s">
        <v>71</v>
      </c>
      <c r="G453" s="1" t="s">
        <v>24</v>
      </c>
      <c r="H453" s="1" t="s">
        <v>35</v>
      </c>
      <c r="I453" s="1">
        <v>139</v>
      </c>
      <c r="J453" s="1">
        <v>30</v>
      </c>
      <c r="K453" s="1">
        <v>0.01</v>
      </c>
      <c r="L453" s="1">
        <v>4170</v>
      </c>
      <c r="M453" s="1">
        <v>4128.3</v>
      </c>
      <c r="N453" s="1">
        <v>4243.88</v>
      </c>
      <c r="O453" s="1">
        <v>0.97</v>
      </c>
      <c r="P453" s="2" t="s">
        <v>52</v>
      </c>
      <c r="Q453" s="14" t="s">
        <v>22</v>
      </c>
    </row>
    <row r="454" spans="1:17" x14ac:dyDescent="0.45">
      <c r="A454" s="10">
        <v>46125</v>
      </c>
      <c r="B454" s="1" t="s">
        <v>525</v>
      </c>
      <c r="C454" s="1" t="s">
        <v>58</v>
      </c>
      <c r="D454" s="1" t="s">
        <v>28</v>
      </c>
      <c r="E454" s="1" t="s">
        <v>65</v>
      </c>
      <c r="F454" s="1" t="s">
        <v>51</v>
      </c>
      <c r="G454" s="1" t="s">
        <v>24</v>
      </c>
      <c r="H454" s="1" t="s">
        <v>35</v>
      </c>
      <c r="I454" s="1">
        <v>110</v>
      </c>
      <c r="J454" s="1">
        <v>30</v>
      </c>
      <c r="K454" s="1">
        <v>0.12</v>
      </c>
      <c r="L454" s="1">
        <v>3300</v>
      </c>
      <c r="M454" s="1">
        <v>2904</v>
      </c>
      <c r="N454" s="1">
        <v>2440.0300000000002</v>
      </c>
      <c r="O454" s="1">
        <v>1.19</v>
      </c>
      <c r="P454" s="2" t="s">
        <v>73</v>
      </c>
      <c r="Q454" s="13" t="s">
        <v>29</v>
      </c>
    </row>
    <row r="455" spans="1:17" x14ac:dyDescent="0.45">
      <c r="A455" s="10">
        <v>46045</v>
      </c>
      <c r="B455" s="1" t="s">
        <v>526</v>
      </c>
      <c r="C455" s="1" t="s">
        <v>64</v>
      </c>
      <c r="D455" s="1" t="s">
        <v>15</v>
      </c>
      <c r="E455" s="1" t="s">
        <v>62</v>
      </c>
      <c r="F455" s="1" t="s">
        <v>78</v>
      </c>
      <c r="G455" s="1" t="s">
        <v>24</v>
      </c>
      <c r="H455" s="1" t="s">
        <v>30</v>
      </c>
      <c r="I455" s="1">
        <v>17</v>
      </c>
      <c r="J455" s="1">
        <v>40</v>
      </c>
      <c r="K455" s="1">
        <v>0.09</v>
      </c>
      <c r="L455" s="1">
        <v>680</v>
      </c>
      <c r="M455" s="1">
        <v>618.79999999999995</v>
      </c>
      <c r="N455" s="1">
        <v>613.15</v>
      </c>
      <c r="O455" s="1">
        <v>1.01</v>
      </c>
      <c r="P455" s="2" t="s">
        <v>73</v>
      </c>
      <c r="Q455" s="14" t="s">
        <v>16</v>
      </c>
    </row>
    <row r="456" spans="1:17" x14ac:dyDescent="0.45">
      <c r="A456" s="10">
        <v>46140</v>
      </c>
      <c r="B456" s="1" t="s">
        <v>527</v>
      </c>
      <c r="C456" s="1" t="s">
        <v>67</v>
      </c>
      <c r="D456" s="1" t="s">
        <v>15</v>
      </c>
      <c r="E456" s="1" t="s">
        <v>55</v>
      </c>
      <c r="F456" s="1" t="s">
        <v>51</v>
      </c>
      <c r="G456" s="1" t="s">
        <v>14</v>
      </c>
      <c r="H456" s="1" t="s">
        <v>27</v>
      </c>
      <c r="I456" s="1">
        <v>38</v>
      </c>
      <c r="J456" s="1">
        <v>120</v>
      </c>
      <c r="K456" s="1">
        <v>0.11</v>
      </c>
      <c r="L456" s="1">
        <v>4560</v>
      </c>
      <c r="M456" s="1">
        <v>4058.4</v>
      </c>
      <c r="N456" s="1">
        <v>3874.43</v>
      </c>
      <c r="O456" s="1">
        <v>1.05</v>
      </c>
      <c r="P456" s="2" t="s">
        <v>73</v>
      </c>
      <c r="Q456" s="13" t="s">
        <v>29</v>
      </c>
    </row>
    <row r="457" spans="1:17" x14ac:dyDescent="0.45">
      <c r="A457" s="10">
        <v>46117</v>
      </c>
      <c r="B457" s="1" t="s">
        <v>528</v>
      </c>
      <c r="C457" s="1" t="s">
        <v>64</v>
      </c>
      <c r="D457" s="1" t="s">
        <v>25</v>
      </c>
      <c r="E457" s="1" t="s">
        <v>98</v>
      </c>
      <c r="F457" s="1" t="s">
        <v>60</v>
      </c>
      <c r="G457" s="1" t="s">
        <v>20</v>
      </c>
      <c r="H457" s="1" t="s">
        <v>33</v>
      </c>
      <c r="I457" s="1">
        <v>167</v>
      </c>
      <c r="J457" s="1">
        <v>35</v>
      </c>
      <c r="K457" s="1">
        <v>0.02</v>
      </c>
      <c r="L457" s="1">
        <v>5845</v>
      </c>
      <c r="M457" s="1">
        <v>5728.1</v>
      </c>
      <c r="N457" s="1">
        <v>6754.96</v>
      </c>
      <c r="O457" s="1">
        <v>0.85</v>
      </c>
      <c r="P457" s="2" t="s">
        <v>52</v>
      </c>
      <c r="Q457" s="14" t="s">
        <v>29</v>
      </c>
    </row>
    <row r="458" spans="1:17" x14ac:dyDescent="0.45">
      <c r="A458" s="10">
        <v>46097</v>
      </c>
      <c r="B458" s="1" t="s">
        <v>529</v>
      </c>
      <c r="C458" s="1" t="s">
        <v>75</v>
      </c>
      <c r="D458" s="1" t="s">
        <v>25</v>
      </c>
      <c r="E458" s="1" t="s">
        <v>104</v>
      </c>
      <c r="F458" s="1" t="s">
        <v>78</v>
      </c>
      <c r="G458" s="1" t="s">
        <v>20</v>
      </c>
      <c r="H458" s="1" t="s">
        <v>23</v>
      </c>
      <c r="I458" s="1">
        <v>51</v>
      </c>
      <c r="J458" s="1">
        <v>180</v>
      </c>
      <c r="K458" s="1">
        <v>0.01</v>
      </c>
      <c r="L458" s="1">
        <v>9180</v>
      </c>
      <c r="M458" s="1">
        <v>9088.2000000000007</v>
      </c>
      <c r="N458" s="1">
        <v>8653.51</v>
      </c>
      <c r="O458" s="1">
        <v>1.05</v>
      </c>
      <c r="P458" s="2" t="s">
        <v>52</v>
      </c>
      <c r="Q458" s="13" t="s">
        <v>26</v>
      </c>
    </row>
    <row r="459" spans="1:17" x14ac:dyDescent="0.45">
      <c r="A459" s="10">
        <v>46102</v>
      </c>
      <c r="B459" s="1" t="s">
        <v>530</v>
      </c>
      <c r="C459" s="1" t="s">
        <v>64</v>
      </c>
      <c r="D459" s="1" t="s">
        <v>21</v>
      </c>
      <c r="E459" s="1" t="s">
        <v>50</v>
      </c>
      <c r="F459" s="1" t="s">
        <v>56</v>
      </c>
      <c r="G459" s="1" t="s">
        <v>20</v>
      </c>
      <c r="H459" s="1" t="s">
        <v>33</v>
      </c>
      <c r="I459" s="1">
        <v>182</v>
      </c>
      <c r="J459" s="1">
        <v>35</v>
      </c>
      <c r="K459" s="1">
        <v>0.06</v>
      </c>
      <c r="L459" s="1">
        <v>6370</v>
      </c>
      <c r="M459" s="1">
        <v>5987.8</v>
      </c>
      <c r="N459" s="1">
        <v>4909.5200000000004</v>
      </c>
      <c r="O459" s="1">
        <v>1.22</v>
      </c>
      <c r="P459" s="2" t="s">
        <v>52</v>
      </c>
      <c r="Q459" s="14" t="s">
        <v>26</v>
      </c>
    </row>
    <row r="460" spans="1:17" x14ac:dyDescent="0.45">
      <c r="A460" s="10">
        <v>46057</v>
      </c>
      <c r="B460" s="1" t="s">
        <v>531</v>
      </c>
      <c r="C460" s="1" t="s">
        <v>64</v>
      </c>
      <c r="D460" s="1" t="s">
        <v>15</v>
      </c>
      <c r="E460" s="1" t="s">
        <v>55</v>
      </c>
      <c r="F460" s="1" t="s">
        <v>56</v>
      </c>
      <c r="G460" s="1" t="s">
        <v>24</v>
      </c>
      <c r="H460" s="1" t="s">
        <v>35</v>
      </c>
      <c r="I460" s="1">
        <v>184</v>
      </c>
      <c r="J460" s="1">
        <v>30</v>
      </c>
      <c r="K460" s="1">
        <v>0.08</v>
      </c>
      <c r="L460" s="1">
        <v>5520</v>
      </c>
      <c r="M460" s="1">
        <v>5078.3999999999996</v>
      </c>
      <c r="N460" s="1">
        <v>5973.39</v>
      </c>
      <c r="O460" s="1">
        <v>0.85</v>
      </c>
      <c r="P460" s="2" t="s">
        <v>52</v>
      </c>
      <c r="Q460" s="13" t="s">
        <v>22</v>
      </c>
    </row>
    <row r="461" spans="1:17" x14ac:dyDescent="0.45">
      <c r="A461" s="10">
        <v>46167</v>
      </c>
      <c r="B461" s="1" t="s">
        <v>532</v>
      </c>
      <c r="C461" s="1" t="s">
        <v>75</v>
      </c>
      <c r="D461" s="1" t="s">
        <v>15</v>
      </c>
      <c r="E461" s="1" t="s">
        <v>55</v>
      </c>
      <c r="F461" s="1" t="s">
        <v>51</v>
      </c>
      <c r="G461" s="1" t="s">
        <v>20</v>
      </c>
      <c r="H461" s="1" t="s">
        <v>33</v>
      </c>
      <c r="I461" s="1">
        <v>142</v>
      </c>
      <c r="J461" s="1">
        <v>35</v>
      </c>
      <c r="K461" s="1">
        <v>0.13</v>
      </c>
      <c r="L461" s="1">
        <v>4970</v>
      </c>
      <c r="M461" s="1">
        <v>4323.8999999999996</v>
      </c>
      <c r="N461" s="1">
        <v>3730.87</v>
      </c>
      <c r="O461" s="1">
        <v>1.1599999999999999</v>
      </c>
      <c r="P461" s="2" t="s">
        <v>52</v>
      </c>
      <c r="Q461" s="14" t="s">
        <v>32</v>
      </c>
    </row>
    <row r="462" spans="1:17" x14ac:dyDescent="0.45">
      <c r="A462" s="10">
        <v>46028</v>
      </c>
      <c r="B462" s="1" t="s">
        <v>533</v>
      </c>
      <c r="C462" s="1" t="s">
        <v>64</v>
      </c>
      <c r="D462" s="1" t="s">
        <v>28</v>
      </c>
      <c r="E462" s="1" t="s">
        <v>65</v>
      </c>
      <c r="F462" s="1" t="s">
        <v>95</v>
      </c>
      <c r="G462" s="1" t="s">
        <v>20</v>
      </c>
      <c r="H462" s="1" t="s">
        <v>33</v>
      </c>
      <c r="I462" s="1">
        <v>157</v>
      </c>
      <c r="J462" s="1">
        <v>35</v>
      </c>
      <c r="K462" s="1">
        <v>0.05</v>
      </c>
      <c r="L462" s="1">
        <v>5495</v>
      </c>
      <c r="M462" s="1">
        <v>5220.25</v>
      </c>
      <c r="N462" s="1">
        <v>4826.8999999999996</v>
      </c>
      <c r="O462" s="1">
        <v>1.08</v>
      </c>
      <c r="P462" s="2" t="s">
        <v>73</v>
      </c>
      <c r="Q462" s="13" t="s">
        <v>16</v>
      </c>
    </row>
    <row r="463" spans="1:17" x14ac:dyDescent="0.45">
      <c r="A463" s="10">
        <v>46202</v>
      </c>
      <c r="B463" s="1" t="s">
        <v>534</v>
      </c>
      <c r="C463" s="1" t="s">
        <v>64</v>
      </c>
      <c r="D463" s="1" t="s">
        <v>25</v>
      </c>
      <c r="E463" s="1" t="s">
        <v>68</v>
      </c>
      <c r="F463" s="1" t="s">
        <v>71</v>
      </c>
      <c r="G463" s="1" t="s">
        <v>14</v>
      </c>
      <c r="H463" s="1" t="s">
        <v>18</v>
      </c>
      <c r="I463" s="1">
        <v>182</v>
      </c>
      <c r="J463" s="1">
        <v>250</v>
      </c>
      <c r="K463" s="1">
        <v>0.09</v>
      </c>
      <c r="L463" s="1">
        <v>45500</v>
      </c>
      <c r="M463" s="1">
        <v>41405</v>
      </c>
      <c r="N463" s="1">
        <v>47212.25</v>
      </c>
      <c r="O463" s="1">
        <v>0.88</v>
      </c>
      <c r="P463" s="2" t="s">
        <v>73</v>
      </c>
      <c r="Q463" s="14" t="s">
        <v>34</v>
      </c>
    </row>
    <row r="464" spans="1:17" x14ac:dyDescent="0.45">
      <c r="A464" s="10">
        <v>46095</v>
      </c>
      <c r="B464" s="1" t="s">
        <v>535</v>
      </c>
      <c r="C464" s="1" t="s">
        <v>64</v>
      </c>
      <c r="D464" s="1" t="s">
        <v>15</v>
      </c>
      <c r="E464" s="1" t="s">
        <v>55</v>
      </c>
      <c r="F464" s="1" t="s">
        <v>51</v>
      </c>
      <c r="G464" s="1" t="s">
        <v>24</v>
      </c>
      <c r="H464" s="1" t="s">
        <v>35</v>
      </c>
      <c r="I464" s="1">
        <v>126</v>
      </c>
      <c r="J464" s="1">
        <v>30</v>
      </c>
      <c r="K464" s="1">
        <v>0.08</v>
      </c>
      <c r="L464" s="1">
        <v>3780</v>
      </c>
      <c r="M464" s="1">
        <v>3477.6</v>
      </c>
      <c r="N464" s="1">
        <v>4163.07</v>
      </c>
      <c r="O464" s="1">
        <v>0.84</v>
      </c>
      <c r="P464" s="2" t="s">
        <v>73</v>
      </c>
      <c r="Q464" s="13" t="s">
        <v>26</v>
      </c>
    </row>
    <row r="465" spans="1:17" x14ac:dyDescent="0.45">
      <c r="A465" s="10">
        <v>46059</v>
      </c>
      <c r="B465" s="1" t="s">
        <v>536</v>
      </c>
      <c r="C465" s="1" t="s">
        <v>75</v>
      </c>
      <c r="D465" s="1" t="s">
        <v>25</v>
      </c>
      <c r="E465" s="1" t="s">
        <v>104</v>
      </c>
      <c r="F465" s="1" t="s">
        <v>60</v>
      </c>
      <c r="G465" s="1" t="s">
        <v>20</v>
      </c>
      <c r="H465" s="1" t="s">
        <v>33</v>
      </c>
      <c r="I465" s="1">
        <v>9</v>
      </c>
      <c r="J465" s="1">
        <v>35</v>
      </c>
      <c r="K465" s="1">
        <v>0.12</v>
      </c>
      <c r="L465" s="1">
        <v>315</v>
      </c>
      <c r="M465" s="1">
        <v>277.2</v>
      </c>
      <c r="N465" s="1">
        <v>309.29000000000002</v>
      </c>
      <c r="O465" s="1">
        <v>0.9</v>
      </c>
      <c r="P465" s="2" t="s">
        <v>52</v>
      </c>
      <c r="Q465" s="14" t="s">
        <v>22</v>
      </c>
    </row>
    <row r="466" spans="1:17" x14ac:dyDescent="0.45">
      <c r="A466" s="10">
        <v>46184</v>
      </c>
      <c r="B466" s="1" t="s">
        <v>537</v>
      </c>
      <c r="C466" s="1" t="s">
        <v>67</v>
      </c>
      <c r="D466" s="1" t="s">
        <v>25</v>
      </c>
      <c r="E466" s="1" t="s">
        <v>104</v>
      </c>
      <c r="F466" s="1" t="s">
        <v>78</v>
      </c>
      <c r="G466" s="1" t="s">
        <v>14</v>
      </c>
      <c r="H466" s="1" t="s">
        <v>18</v>
      </c>
      <c r="I466" s="1">
        <v>46</v>
      </c>
      <c r="J466" s="1">
        <v>250</v>
      </c>
      <c r="K466" s="1">
        <v>0.05</v>
      </c>
      <c r="L466" s="1">
        <v>11500</v>
      </c>
      <c r="M466" s="1">
        <v>10925</v>
      </c>
      <c r="N466" s="1">
        <v>12037.28</v>
      </c>
      <c r="O466" s="1">
        <v>0.91</v>
      </c>
      <c r="P466" s="2" t="s">
        <v>52</v>
      </c>
      <c r="Q466" s="13" t="s">
        <v>34</v>
      </c>
    </row>
    <row r="467" spans="1:17" x14ac:dyDescent="0.45">
      <c r="A467" s="10">
        <v>46069</v>
      </c>
      <c r="B467" s="1" t="s">
        <v>538</v>
      </c>
      <c r="C467" s="1" t="s">
        <v>58</v>
      </c>
      <c r="D467" s="1" t="s">
        <v>15</v>
      </c>
      <c r="E467" s="1" t="s">
        <v>55</v>
      </c>
      <c r="F467" s="1" t="s">
        <v>95</v>
      </c>
      <c r="G467" s="1" t="s">
        <v>24</v>
      </c>
      <c r="H467" s="1" t="s">
        <v>35</v>
      </c>
      <c r="I467" s="1">
        <v>34</v>
      </c>
      <c r="J467" s="1">
        <v>30</v>
      </c>
      <c r="K467" s="1">
        <v>7.0000000000000007E-2</v>
      </c>
      <c r="L467" s="1">
        <v>1020</v>
      </c>
      <c r="M467" s="1">
        <v>948.6</v>
      </c>
      <c r="N467" s="1">
        <v>1017.33</v>
      </c>
      <c r="O467" s="1">
        <v>0.93</v>
      </c>
      <c r="P467" s="2" t="s">
        <v>52</v>
      </c>
      <c r="Q467" s="14" t="s">
        <v>22</v>
      </c>
    </row>
    <row r="468" spans="1:17" x14ac:dyDescent="0.45">
      <c r="A468" s="10">
        <v>46197</v>
      </c>
      <c r="B468" s="1" t="s">
        <v>539</v>
      </c>
      <c r="C468" s="1" t="s">
        <v>54</v>
      </c>
      <c r="D468" s="1" t="s">
        <v>15</v>
      </c>
      <c r="E468" s="1" t="s">
        <v>55</v>
      </c>
      <c r="F468" s="1" t="s">
        <v>56</v>
      </c>
      <c r="G468" s="1" t="s">
        <v>24</v>
      </c>
      <c r="H468" s="1" t="s">
        <v>30</v>
      </c>
      <c r="I468" s="1">
        <v>140</v>
      </c>
      <c r="J468" s="1">
        <v>40</v>
      </c>
      <c r="K468" s="1">
        <v>0.1</v>
      </c>
      <c r="L468" s="1">
        <v>5600</v>
      </c>
      <c r="M468" s="1">
        <v>5040</v>
      </c>
      <c r="N468" s="1">
        <v>5434.08</v>
      </c>
      <c r="O468" s="1">
        <v>0.93</v>
      </c>
      <c r="P468" s="2" t="s">
        <v>73</v>
      </c>
      <c r="Q468" s="13" t="s">
        <v>34</v>
      </c>
    </row>
    <row r="469" spans="1:17" x14ac:dyDescent="0.45">
      <c r="A469" s="10">
        <v>46165</v>
      </c>
      <c r="B469" s="1" t="s">
        <v>540</v>
      </c>
      <c r="C469" s="1" t="s">
        <v>75</v>
      </c>
      <c r="D469" s="1" t="s">
        <v>28</v>
      </c>
      <c r="E469" s="1" t="s">
        <v>82</v>
      </c>
      <c r="F469" s="1" t="s">
        <v>95</v>
      </c>
      <c r="G469" s="1" t="s">
        <v>20</v>
      </c>
      <c r="H469" s="1" t="s">
        <v>33</v>
      </c>
      <c r="I469" s="1">
        <v>132</v>
      </c>
      <c r="J469" s="1">
        <v>35</v>
      </c>
      <c r="K469" s="1">
        <v>7.0000000000000007E-2</v>
      </c>
      <c r="L469" s="1">
        <v>4620</v>
      </c>
      <c r="M469" s="1">
        <v>4296.6000000000004</v>
      </c>
      <c r="N469" s="1">
        <v>4808.17</v>
      </c>
      <c r="O469" s="1">
        <v>0.89</v>
      </c>
      <c r="P469" s="2" t="s">
        <v>52</v>
      </c>
      <c r="Q469" s="14" t="s">
        <v>32</v>
      </c>
    </row>
    <row r="470" spans="1:17" x14ac:dyDescent="0.45">
      <c r="A470" s="10">
        <v>46142</v>
      </c>
      <c r="B470" s="1" t="s">
        <v>541</v>
      </c>
      <c r="C470" s="1" t="s">
        <v>58</v>
      </c>
      <c r="D470" s="1" t="s">
        <v>25</v>
      </c>
      <c r="E470" s="1" t="s">
        <v>68</v>
      </c>
      <c r="F470" s="1" t="s">
        <v>71</v>
      </c>
      <c r="G470" s="1" t="s">
        <v>20</v>
      </c>
      <c r="H470" s="1" t="s">
        <v>33</v>
      </c>
      <c r="I470" s="1">
        <v>13</v>
      </c>
      <c r="J470" s="1">
        <v>35</v>
      </c>
      <c r="K470" s="1">
        <v>0.09</v>
      </c>
      <c r="L470" s="1">
        <v>455</v>
      </c>
      <c r="M470" s="1">
        <v>414.05</v>
      </c>
      <c r="N470" s="1">
        <v>445.39</v>
      </c>
      <c r="O470" s="1">
        <v>0.93</v>
      </c>
      <c r="P470" s="2" t="s">
        <v>73</v>
      </c>
      <c r="Q470" s="13" t="s">
        <v>29</v>
      </c>
    </row>
    <row r="471" spans="1:17" x14ac:dyDescent="0.45">
      <c r="A471" s="10">
        <v>46078</v>
      </c>
      <c r="B471" s="1" t="s">
        <v>542</v>
      </c>
      <c r="C471" s="1" t="s">
        <v>49</v>
      </c>
      <c r="D471" s="1" t="s">
        <v>15</v>
      </c>
      <c r="E471" s="1" t="s">
        <v>55</v>
      </c>
      <c r="F471" s="1" t="s">
        <v>51</v>
      </c>
      <c r="G471" s="1" t="s">
        <v>14</v>
      </c>
      <c r="H471" s="1" t="s">
        <v>18</v>
      </c>
      <c r="I471" s="1">
        <v>10</v>
      </c>
      <c r="J471" s="1">
        <v>250</v>
      </c>
      <c r="K471" s="1">
        <v>0.06</v>
      </c>
      <c r="L471" s="1">
        <v>2500</v>
      </c>
      <c r="M471" s="1">
        <v>2350</v>
      </c>
      <c r="N471" s="1">
        <v>2798.92</v>
      </c>
      <c r="O471" s="1">
        <v>0.84</v>
      </c>
      <c r="P471" s="2" t="s">
        <v>52</v>
      </c>
      <c r="Q471" s="14" t="s">
        <v>22</v>
      </c>
    </row>
    <row r="472" spans="1:17" x14ac:dyDescent="0.45">
      <c r="A472" s="10">
        <v>46136</v>
      </c>
      <c r="B472" s="1" t="s">
        <v>543</v>
      </c>
      <c r="C472" s="1" t="s">
        <v>75</v>
      </c>
      <c r="D472" s="1" t="s">
        <v>28</v>
      </c>
      <c r="E472" s="1" t="s">
        <v>65</v>
      </c>
      <c r="F472" s="1" t="s">
        <v>51</v>
      </c>
      <c r="G472" s="1" t="s">
        <v>20</v>
      </c>
      <c r="H472" s="1" t="s">
        <v>33</v>
      </c>
      <c r="I472" s="1">
        <v>181</v>
      </c>
      <c r="J472" s="1">
        <v>35</v>
      </c>
      <c r="K472" s="1">
        <v>0.15</v>
      </c>
      <c r="L472" s="1">
        <v>6335</v>
      </c>
      <c r="M472" s="1">
        <v>5384.75</v>
      </c>
      <c r="N472" s="1">
        <v>4401.54</v>
      </c>
      <c r="O472" s="1">
        <v>1.22</v>
      </c>
      <c r="P472" s="2" t="s">
        <v>73</v>
      </c>
      <c r="Q472" s="13" t="s">
        <v>29</v>
      </c>
    </row>
    <row r="473" spans="1:17" x14ac:dyDescent="0.45">
      <c r="A473" s="10">
        <v>46113</v>
      </c>
      <c r="B473" s="1" t="s">
        <v>544</v>
      </c>
      <c r="C473" s="1" t="s">
        <v>75</v>
      </c>
      <c r="D473" s="1" t="s">
        <v>15</v>
      </c>
      <c r="E473" s="1" t="s">
        <v>55</v>
      </c>
      <c r="F473" s="1" t="s">
        <v>78</v>
      </c>
      <c r="G473" s="1" t="s">
        <v>14</v>
      </c>
      <c r="H473" s="1" t="s">
        <v>18</v>
      </c>
      <c r="I473" s="1">
        <v>72</v>
      </c>
      <c r="J473" s="1">
        <v>250</v>
      </c>
      <c r="K473" s="1">
        <v>0.05</v>
      </c>
      <c r="L473" s="1">
        <v>18000</v>
      </c>
      <c r="M473" s="1">
        <v>17100</v>
      </c>
      <c r="N473" s="1">
        <v>15821.25</v>
      </c>
      <c r="O473" s="1">
        <v>1.08</v>
      </c>
      <c r="P473" s="2" t="s">
        <v>52</v>
      </c>
      <c r="Q473" s="14" t="s">
        <v>29</v>
      </c>
    </row>
    <row r="474" spans="1:17" x14ac:dyDescent="0.45">
      <c r="A474" s="10">
        <v>46196</v>
      </c>
      <c r="B474" s="1" t="s">
        <v>545</v>
      </c>
      <c r="C474" s="1" t="s">
        <v>67</v>
      </c>
      <c r="D474" s="1" t="s">
        <v>25</v>
      </c>
      <c r="E474" s="1" t="s">
        <v>104</v>
      </c>
      <c r="F474" s="1" t="s">
        <v>56</v>
      </c>
      <c r="G474" s="1" t="s">
        <v>20</v>
      </c>
      <c r="H474" s="1" t="s">
        <v>23</v>
      </c>
      <c r="I474" s="1">
        <v>112</v>
      </c>
      <c r="J474" s="1">
        <v>180</v>
      </c>
      <c r="K474" s="1">
        <v>0.1</v>
      </c>
      <c r="L474" s="1">
        <v>20160</v>
      </c>
      <c r="M474" s="1">
        <v>18144</v>
      </c>
      <c r="N474" s="1">
        <v>14543.6</v>
      </c>
      <c r="O474" s="1">
        <v>1.25</v>
      </c>
      <c r="P474" s="2" t="s">
        <v>52</v>
      </c>
      <c r="Q474" s="13" t="s">
        <v>34</v>
      </c>
    </row>
    <row r="475" spans="1:17" x14ac:dyDescent="0.45">
      <c r="A475" s="10">
        <v>46172</v>
      </c>
      <c r="B475" s="1" t="s">
        <v>546</v>
      </c>
      <c r="C475" s="1" t="s">
        <v>54</v>
      </c>
      <c r="D475" s="1" t="s">
        <v>25</v>
      </c>
      <c r="E475" s="1" t="s">
        <v>98</v>
      </c>
      <c r="F475" s="1" t="s">
        <v>51</v>
      </c>
      <c r="G475" s="1" t="s">
        <v>24</v>
      </c>
      <c r="H475" s="1" t="s">
        <v>35</v>
      </c>
      <c r="I475" s="1">
        <v>173</v>
      </c>
      <c r="J475" s="1">
        <v>30</v>
      </c>
      <c r="K475" s="1">
        <v>0.01</v>
      </c>
      <c r="L475" s="1">
        <v>5190</v>
      </c>
      <c r="M475" s="1">
        <v>5138.1000000000004</v>
      </c>
      <c r="N475" s="1">
        <v>4890.66</v>
      </c>
      <c r="O475" s="1">
        <v>1.05</v>
      </c>
      <c r="P475" s="2" t="s">
        <v>73</v>
      </c>
      <c r="Q475" s="14" t="s">
        <v>32</v>
      </c>
    </row>
    <row r="476" spans="1:17" x14ac:dyDescent="0.45">
      <c r="A476" s="10">
        <v>46122</v>
      </c>
      <c r="B476" s="1" t="s">
        <v>547</v>
      </c>
      <c r="C476" s="1" t="s">
        <v>64</v>
      </c>
      <c r="D476" s="1" t="s">
        <v>15</v>
      </c>
      <c r="E476" s="1" t="s">
        <v>62</v>
      </c>
      <c r="F476" s="1" t="s">
        <v>95</v>
      </c>
      <c r="G476" s="1" t="s">
        <v>20</v>
      </c>
      <c r="H476" s="1" t="s">
        <v>23</v>
      </c>
      <c r="I476" s="1">
        <v>168</v>
      </c>
      <c r="J476" s="1">
        <v>180</v>
      </c>
      <c r="K476" s="1">
        <v>0.13</v>
      </c>
      <c r="L476" s="1">
        <v>30240</v>
      </c>
      <c r="M476" s="1">
        <v>26308.799999999999</v>
      </c>
      <c r="N476" s="1">
        <v>28936.55</v>
      </c>
      <c r="O476" s="1">
        <v>0.91</v>
      </c>
      <c r="P476" s="2" t="s">
        <v>52</v>
      </c>
      <c r="Q476" s="13" t="s">
        <v>29</v>
      </c>
    </row>
    <row r="477" spans="1:17" x14ac:dyDescent="0.45">
      <c r="A477" s="10">
        <v>46160</v>
      </c>
      <c r="B477" s="1" t="s">
        <v>548</v>
      </c>
      <c r="C477" s="1" t="s">
        <v>64</v>
      </c>
      <c r="D477" s="1" t="s">
        <v>21</v>
      </c>
      <c r="E477" s="1" t="s">
        <v>50</v>
      </c>
      <c r="F477" s="1" t="s">
        <v>56</v>
      </c>
      <c r="G477" s="1" t="s">
        <v>14</v>
      </c>
      <c r="H477" s="1" t="s">
        <v>27</v>
      </c>
      <c r="I477" s="1">
        <v>91</v>
      </c>
      <c r="J477" s="1">
        <v>120</v>
      </c>
      <c r="K477" s="1">
        <v>0.14000000000000001</v>
      </c>
      <c r="L477" s="1">
        <v>10920</v>
      </c>
      <c r="M477" s="1">
        <v>9391.2000000000007</v>
      </c>
      <c r="N477" s="1">
        <v>11258.56</v>
      </c>
      <c r="O477" s="1">
        <v>0.83</v>
      </c>
      <c r="P477" s="2" t="s">
        <v>73</v>
      </c>
      <c r="Q477" s="14" t="s">
        <v>32</v>
      </c>
    </row>
    <row r="478" spans="1:17" x14ac:dyDescent="0.45">
      <c r="A478" s="10">
        <v>46071</v>
      </c>
      <c r="B478" s="1" t="s">
        <v>549</v>
      </c>
      <c r="C478" s="1" t="s">
        <v>75</v>
      </c>
      <c r="D478" s="1" t="s">
        <v>21</v>
      </c>
      <c r="E478" s="1" t="s">
        <v>80</v>
      </c>
      <c r="F478" s="1" t="s">
        <v>51</v>
      </c>
      <c r="G478" s="1" t="s">
        <v>20</v>
      </c>
      <c r="H478" s="1" t="s">
        <v>23</v>
      </c>
      <c r="I478" s="1">
        <v>36</v>
      </c>
      <c r="J478" s="1">
        <v>180</v>
      </c>
      <c r="K478" s="1">
        <v>0.15</v>
      </c>
      <c r="L478" s="1">
        <v>6480</v>
      </c>
      <c r="M478" s="1">
        <v>5508</v>
      </c>
      <c r="N478" s="1">
        <v>4705.88</v>
      </c>
      <c r="O478" s="1">
        <v>1.17</v>
      </c>
      <c r="P478" s="2" t="s">
        <v>73</v>
      </c>
      <c r="Q478" s="13" t="s">
        <v>22</v>
      </c>
    </row>
    <row r="479" spans="1:17" x14ac:dyDescent="0.45">
      <c r="A479" s="10">
        <v>46063</v>
      </c>
      <c r="B479" s="1" t="s">
        <v>550</v>
      </c>
      <c r="C479" s="1" t="s">
        <v>58</v>
      </c>
      <c r="D479" s="1" t="s">
        <v>21</v>
      </c>
      <c r="E479" s="1" t="s">
        <v>80</v>
      </c>
      <c r="F479" s="1" t="s">
        <v>51</v>
      </c>
      <c r="G479" s="1" t="s">
        <v>14</v>
      </c>
      <c r="H479" s="1" t="s">
        <v>27</v>
      </c>
      <c r="I479" s="1">
        <v>132</v>
      </c>
      <c r="J479" s="1">
        <v>120</v>
      </c>
      <c r="K479" s="1">
        <v>0.05</v>
      </c>
      <c r="L479" s="1">
        <v>15840</v>
      </c>
      <c r="M479" s="1">
        <v>15048</v>
      </c>
      <c r="N479" s="1">
        <v>12510.8</v>
      </c>
      <c r="O479" s="1">
        <v>1.2</v>
      </c>
      <c r="P479" s="2" t="s">
        <v>52</v>
      </c>
      <c r="Q479" s="14" t="s">
        <v>22</v>
      </c>
    </row>
    <row r="480" spans="1:17" x14ac:dyDescent="0.45">
      <c r="A480" s="10">
        <v>46032</v>
      </c>
      <c r="B480" s="1" t="s">
        <v>551</v>
      </c>
      <c r="C480" s="1" t="s">
        <v>58</v>
      </c>
      <c r="D480" s="1" t="s">
        <v>28</v>
      </c>
      <c r="E480" s="1" t="s">
        <v>70</v>
      </c>
      <c r="F480" s="1" t="s">
        <v>71</v>
      </c>
      <c r="G480" s="1" t="s">
        <v>14</v>
      </c>
      <c r="H480" s="1" t="s">
        <v>18</v>
      </c>
      <c r="I480" s="1">
        <v>185</v>
      </c>
      <c r="J480" s="1">
        <v>250</v>
      </c>
      <c r="K480" s="1">
        <v>7.0000000000000007E-2</v>
      </c>
      <c r="L480" s="1">
        <v>46250</v>
      </c>
      <c r="M480" s="1">
        <v>43012.5</v>
      </c>
      <c r="N480" s="1">
        <v>40548.68</v>
      </c>
      <c r="O480" s="1">
        <v>1.06</v>
      </c>
      <c r="P480" s="2" t="s">
        <v>73</v>
      </c>
      <c r="Q480" s="13" t="s">
        <v>16</v>
      </c>
    </row>
    <row r="481" spans="1:17" x14ac:dyDescent="0.45">
      <c r="A481" s="10">
        <v>46140</v>
      </c>
      <c r="B481" s="1" t="s">
        <v>552</v>
      </c>
      <c r="C481" s="1" t="s">
        <v>67</v>
      </c>
      <c r="D481" s="1" t="s">
        <v>15</v>
      </c>
      <c r="E481" s="1" t="s">
        <v>55</v>
      </c>
      <c r="F481" s="1" t="s">
        <v>60</v>
      </c>
      <c r="G481" s="1" t="s">
        <v>14</v>
      </c>
      <c r="H481" s="1" t="s">
        <v>27</v>
      </c>
      <c r="I481" s="1">
        <v>29</v>
      </c>
      <c r="J481" s="1">
        <v>120</v>
      </c>
      <c r="K481" s="1">
        <v>0.06</v>
      </c>
      <c r="L481" s="1">
        <v>3480</v>
      </c>
      <c r="M481" s="1">
        <v>3271.2</v>
      </c>
      <c r="N481" s="1">
        <v>2900.96</v>
      </c>
      <c r="O481" s="1">
        <v>1.1299999999999999</v>
      </c>
      <c r="P481" s="2" t="s">
        <v>73</v>
      </c>
      <c r="Q481" s="14" t="s">
        <v>29</v>
      </c>
    </row>
    <row r="482" spans="1:17" x14ac:dyDescent="0.45">
      <c r="A482" s="10">
        <v>46103</v>
      </c>
      <c r="B482" s="1" t="s">
        <v>553</v>
      </c>
      <c r="C482" s="1" t="s">
        <v>75</v>
      </c>
      <c r="D482" s="1" t="s">
        <v>25</v>
      </c>
      <c r="E482" s="1" t="s">
        <v>104</v>
      </c>
      <c r="F482" s="1" t="s">
        <v>71</v>
      </c>
      <c r="G482" s="1" t="s">
        <v>24</v>
      </c>
      <c r="H482" s="1" t="s">
        <v>35</v>
      </c>
      <c r="I482" s="1">
        <v>148</v>
      </c>
      <c r="J482" s="1">
        <v>30</v>
      </c>
      <c r="K482" s="1">
        <v>0.01</v>
      </c>
      <c r="L482" s="1">
        <v>4440</v>
      </c>
      <c r="M482" s="1">
        <v>4395.6000000000004</v>
      </c>
      <c r="N482" s="1">
        <v>3754.55</v>
      </c>
      <c r="O482" s="1">
        <v>1.17</v>
      </c>
      <c r="P482" s="2" t="s">
        <v>73</v>
      </c>
      <c r="Q482" s="13" t="s">
        <v>26</v>
      </c>
    </row>
    <row r="483" spans="1:17" x14ac:dyDescent="0.45">
      <c r="A483" s="10">
        <v>46152</v>
      </c>
      <c r="B483" s="1" t="s">
        <v>554</v>
      </c>
      <c r="C483" s="1" t="s">
        <v>67</v>
      </c>
      <c r="D483" s="1" t="s">
        <v>15</v>
      </c>
      <c r="E483" s="1" t="s">
        <v>62</v>
      </c>
      <c r="F483" s="1" t="s">
        <v>51</v>
      </c>
      <c r="G483" s="1" t="s">
        <v>24</v>
      </c>
      <c r="H483" s="1" t="s">
        <v>30</v>
      </c>
      <c r="I483" s="1">
        <v>119</v>
      </c>
      <c r="J483" s="1">
        <v>40</v>
      </c>
      <c r="K483" s="1">
        <v>0.1</v>
      </c>
      <c r="L483" s="1">
        <v>4760</v>
      </c>
      <c r="M483" s="1">
        <v>4284</v>
      </c>
      <c r="N483" s="1">
        <v>4430.1400000000003</v>
      </c>
      <c r="O483" s="1">
        <v>0.97</v>
      </c>
      <c r="P483" s="2" t="s">
        <v>52</v>
      </c>
      <c r="Q483" s="14" t="s">
        <v>32</v>
      </c>
    </row>
    <row r="484" spans="1:17" x14ac:dyDescent="0.45">
      <c r="A484" s="10">
        <v>46052</v>
      </c>
      <c r="B484" s="1" t="s">
        <v>555</v>
      </c>
      <c r="C484" s="1" t="s">
        <v>67</v>
      </c>
      <c r="D484" s="1" t="s">
        <v>15</v>
      </c>
      <c r="E484" s="1" t="s">
        <v>55</v>
      </c>
      <c r="F484" s="1" t="s">
        <v>78</v>
      </c>
      <c r="G484" s="1" t="s">
        <v>14</v>
      </c>
      <c r="H484" s="1" t="s">
        <v>18</v>
      </c>
      <c r="I484" s="1">
        <v>27</v>
      </c>
      <c r="J484" s="1">
        <v>250</v>
      </c>
      <c r="K484" s="1">
        <v>0.01</v>
      </c>
      <c r="L484" s="1">
        <v>6750</v>
      </c>
      <c r="M484" s="1">
        <v>6682.5</v>
      </c>
      <c r="N484" s="1">
        <v>7351.85</v>
      </c>
      <c r="O484" s="1">
        <v>0.91</v>
      </c>
      <c r="P484" s="2" t="s">
        <v>73</v>
      </c>
      <c r="Q484" s="13" t="s">
        <v>16</v>
      </c>
    </row>
    <row r="485" spans="1:17" x14ac:dyDescent="0.45">
      <c r="A485" s="10">
        <v>46189</v>
      </c>
      <c r="B485" s="1" t="s">
        <v>556</v>
      </c>
      <c r="C485" s="1" t="s">
        <v>75</v>
      </c>
      <c r="D485" s="1" t="s">
        <v>25</v>
      </c>
      <c r="E485" s="1" t="s">
        <v>68</v>
      </c>
      <c r="F485" s="1" t="s">
        <v>78</v>
      </c>
      <c r="G485" s="1" t="s">
        <v>14</v>
      </c>
      <c r="H485" s="1" t="s">
        <v>27</v>
      </c>
      <c r="I485" s="1">
        <v>197</v>
      </c>
      <c r="J485" s="1">
        <v>120</v>
      </c>
      <c r="K485" s="1">
        <v>7.0000000000000007E-2</v>
      </c>
      <c r="L485" s="1">
        <v>23640</v>
      </c>
      <c r="M485" s="1">
        <v>21985.200000000001</v>
      </c>
      <c r="N485" s="1">
        <v>20738.439999999999</v>
      </c>
      <c r="O485" s="1">
        <v>1.06</v>
      </c>
      <c r="P485" s="2" t="s">
        <v>52</v>
      </c>
      <c r="Q485" s="14" t="s">
        <v>34</v>
      </c>
    </row>
    <row r="486" spans="1:17" x14ac:dyDescent="0.45">
      <c r="A486" s="10">
        <v>46157</v>
      </c>
      <c r="B486" s="1" t="s">
        <v>557</v>
      </c>
      <c r="C486" s="1" t="s">
        <v>67</v>
      </c>
      <c r="D486" s="1" t="s">
        <v>15</v>
      </c>
      <c r="E486" s="1" t="s">
        <v>55</v>
      </c>
      <c r="F486" s="1" t="s">
        <v>56</v>
      </c>
      <c r="G486" s="1" t="s">
        <v>24</v>
      </c>
      <c r="H486" s="1" t="s">
        <v>35</v>
      </c>
      <c r="I486" s="1">
        <v>175</v>
      </c>
      <c r="J486" s="1">
        <v>30</v>
      </c>
      <c r="K486" s="1">
        <v>0.11</v>
      </c>
      <c r="L486" s="1">
        <v>5250</v>
      </c>
      <c r="M486" s="1">
        <v>4672.5</v>
      </c>
      <c r="N486" s="1">
        <v>4205.57</v>
      </c>
      <c r="O486" s="1">
        <v>1.1100000000000001</v>
      </c>
      <c r="P486" s="2" t="s">
        <v>73</v>
      </c>
      <c r="Q486" s="13" t="s">
        <v>32</v>
      </c>
    </row>
    <row r="487" spans="1:17" x14ac:dyDescent="0.45">
      <c r="A487" s="10">
        <v>46061</v>
      </c>
      <c r="B487" s="1" t="s">
        <v>558</v>
      </c>
      <c r="C487" s="1" t="s">
        <v>64</v>
      </c>
      <c r="D487" s="1" t="s">
        <v>28</v>
      </c>
      <c r="E487" s="1" t="s">
        <v>70</v>
      </c>
      <c r="F487" s="1" t="s">
        <v>95</v>
      </c>
      <c r="G487" s="1" t="s">
        <v>14</v>
      </c>
      <c r="H487" s="1" t="s">
        <v>18</v>
      </c>
      <c r="I487" s="1">
        <v>44</v>
      </c>
      <c r="J487" s="1">
        <v>250</v>
      </c>
      <c r="K487" s="1">
        <v>0.12</v>
      </c>
      <c r="L487" s="1">
        <v>11000</v>
      </c>
      <c r="M487" s="1">
        <v>9680</v>
      </c>
      <c r="N487" s="1">
        <v>10255.5</v>
      </c>
      <c r="O487" s="1">
        <v>0.94</v>
      </c>
      <c r="P487" s="2" t="s">
        <v>73</v>
      </c>
      <c r="Q487" s="14" t="s">
        <v>22</v>
      </c>
    </row>
    <row r="488" spans="1:17" x14ac:dyDescent="0.45">
      <c r="A488" s="10">
        <v>46093</v>
      </c>
      <c r="B488" s="1" t="s">
        <v>559</v>
      </c>
      <c r="C488" s="1" t="s">
        <v>54</v>
      </c>
      <c r="D488" s="1" t="s">
        <v>28</v>
      </c>
      <c r="E488" s="1" t="s">
        <v>59</v>
      </c>
      <c r="F488" s="1" t="s">
        <v>51</v>
      </c>
      <c r="G488" s="1" t="s">
        <v>20</v>
      </c>
      <c r="H488" s="1" t="s">
        <v>33</v>
      </c>
      <c r="I488" s="1">
        <v>39</v>
      </c>
      <c r="J488" s="1">
        <v>35</v>
      </c>
      <c r="K488" s="1">
        <v>0.02</v>
      </c>
      <c r="L488" s="1">
        <v>1365</v>
      </c>
      <c r="M488" s="1">
        <v>1337.7</v>
      </c>
      <c r="N488" s="1">
        <v>1079.05</v>
      </c>
      <c r="O488" s="1">
        <v>1.24</v>
      </c>
      <c r="P488" s="2" t="s">
        <v>52</v>
      </c>
      <c r="Q488" s="13" t="s">
        <v>26</v>
      </c>
    </row>
    <row r="489" spans="1:17" x14ac:dyDescent="0.45">
      <c r="A489" s="10">
        <v>46193</v>
      </c>
      <c r="B489" s="1" t="s">
        <v>560</v>
      </c>
      <c r="C489" s="1" t="s">
        <v>54</v>
      </c>
      <c r="D489" s="1" t="s">
        <v>28</v>
      </c>
      <c r="E489" s="1" t="s">
        <v>82</v>
      </c>
      <c r="F489" s="1" t="s">
        <v>56</v>
      </c>
      <c r="G489" s="1" t="s">
        <v>14</v>
      </c>
      <c r="H489" s="1" t="s">
        <v>18</v>
      </c>
      <c r="I489" s="1">
        <v>35</v>
      </c>
      <c r="J489" s="1">
        <v>250</v>
      </c>
      <c r="K489" s="1">
        <v>0.02</v>
      </c>
      <c r="L489" s="1">
        <v>8750</v>
      </c>
      <c r="M489" s="1">
        <v>8575</v>
      </c>
      <c r="N489" s="1">
        <v>7789.34</v>
      </c>
      <c r="O489" s="1">
        <v>1.1000000000000001</v>
      </c>
      <c r="P489" s="2" t="s">
        <v>52</v>
      </c>
      <c r="Q489" s="14" t="s">
        <v>34</v>
      </c>
    </row>
    <row r="490" spans="1:17" x14ac:dyDescent="0.45">
      <c r="A490" s="10">
        <v>46170</v>
      </c>
      <c r="B490" s="1" t="s">
        <v>561</v>
      </c>
      <c r="C490" s="1" t="s">
        <v>75</v>
      </c>
      <c r="D490" s="1" t="s">
        <v>15</v>
      </c>
      <c r="E490" s="1" t="s">
        <v>62</v>
      </c>
      <c r="F490" s="1" t="s">
        <v>78</v>
      </c>
      <c r="G490" s="1" t="s">
        <v>14</v>
      </c>
      <c r="H490" s="1" t="s">
        <v>27</v>
      </c>
      <c r="I490" s="1">
        <v>16</v>
      </c>
      <c r="J490" s="1">
        <v>120</v>
      </c>
      <c r="K490" s="1">
        <v>0.12</v>
      </c>
      <c r="L490" s="1">
        <v>1920</v>
      </c>
      <c r="M490" s="1">
        <v>1689.6</v>
      </c>
      <c r="N490" s="1">
        <v>1441.54</v>
      </c>
      <c r="O490" s="1">
        <v>1.17</v>
      </c>
      <c r="P490" s="2" t="s">
        <v>73</v>
      </c>
      <c r="Q490" s="13" t="s">
        <v>32</v>
      </c>
    </row>
    <row r="491" spans="1:17" x14ac:dyDescent="0.45">
      <c r="A491" s="10">
        <v>46190</v>
      </c>
      <c r="B491" s="1" t="s">
        <v>562</v>
      </c>
      <c r="C491" s="1" t="s">
        <v>75</v>
      </c>
      <c r="D491" s="1" t="s">
        <v>21</v>
      </c>
      <c r="E491" s="1" t="s">
        <v>50</v>
      </c>
      <c r="F491" s="1" t="s">
        <v>95</v>
      </c>
      <c r="G491" s="1" t="s">
        <v>24</v>
      </c>
      <c r="H491" s="1" t="s">
        <v>30</v>
      </c>
      <c r="I491" s="1">
        <v>165</v>
      </c>
      <c r="J491" s="1">
        <v>40</v>
      </c>
      <c r="K491" s="1">
        <v>0.11</v>
      </c>
      <c r="L491" s="1">
        <v>6600</v>
      </c>
      <c r="M491" s="1">
        <v>5874</v>
      </c>
      <c r="N491" s="1">
        <v>4774.2</v>
      </c>
      <c r="O491" s="1">
        <v>1.23</v>
      </c>
      <c r="P491" s="2" t="s">
        <v>52</v>
      </c>
      <c r="Q491" s="14" t="s">
        <v>34</v>
      </c>
    </row>
    <row r="492" spans="1:17" x14ac:dyDescent="0.45">
      <c r="A492" s="10">
        <v>46143</v>
      </c>
      <c r="B492" s="1" t="s">
        <v>563</v>
      </c>
      <c r="C492" s="1" t="s">
        <v>49</v>
      </c>
      <c r="D492" s="1" t="s">
        <v>21</v>
      </c>
      <c r="E492" s="1" t="s">
        <v>80</v>
      </c>
      <c r="F492" s="1" t="s">
        <v>78</v>
      </c>
      <c r="G492" s="1" t="s">
        <v>20</v>
      </c>
      <c r="H492" s="1" t="s">
        <v>33</v>
      </c>
      <c r="I492" s="1">
        <v>100</v>
      </c>
      <c r="J492" s="1">
        <v>35</v>
      </c>
      <c r="K492" s="1">
        <v>0.11</v>
      </c>
      <c r="L492" s="1">
        <v>3500</v>
      </c>
      <c r="M492" s="1">
        <v>3115</v>
      </c>
      <c r="N492" s="1">
        <v>2826.82</v>
      </c>
      <c r="O492" s="1">
        <v>1.1000000000000001</v>
      </c>
      <c r="P492" s="2" t="s">
        <v>52</v>
      </c>
      <c r="Q492" s="13" t="s">
        <v>32</v>
      </c>
    </row>
    <row r="493" spans="1:17" x14ac:dyDescent="0.45">
      <c r="A493" s="10">
        <v>46092</v>
      </c>
      <c r="B493" s="1" t="s">
        <v>564</v>
      </c>
      <c r="C493" s="1" t="s">
        <v>64</v>
      </c>
      <c r="D493" s="1" t="s">
        <v>15</v>
      </c>
      <c r="E493" s="1" t="s">
        <v>55</v>
      </c>
      <c r="F493" s="1" t="s">
        <v>60</v>
      </c>
      <c r="G493" s="1" t="s">
        <v>14</v>
      </c>
      <c r="H493" s="1" t="s">
        <v>18</v>
      </c>
      <c r="I493" s="1">
        <v>84</v>
      </c>
      <c r="J493" s="1">
        <v>250</v>
      </c>
      <c r="K493" s="1">
        <v>0.01</v>
      </c>
      <c r="L493" s="1">
        <v>21000</v>
      </c>
      <c r="M493" s="1">
        <v>20790</v>
      </c>
      <c r="N493" s="1">
        <v>20785.53</v>
      </c>
      <c r="O493" s="1">
        <v>1</v>
      </c>
      <c r="P493" s="2" t="s">
        <v>52</v>
      </c>
      <c r="Q493" s="14" t="s">
        <v>26</v>
      </c>
    </row>
    <row r="494" spans="1:17" x14ac:dyDescent="0.45">
      <c r="A494" s="10">
        <v>46174</v>
      </c>
      <c r="B494" s="1" t="s">
        <v>565</v>
      </c>
      <c r="C494" s="1" t="s">
        <v>54</v>
      </c>
      <c r="D494" s="1" t="s">
        <v>25</v>
      </c>
      <c r="E494" s="1" t="s">
        <v>104</v>
      </c>
      <c r="F494" s="1" t="s">
        <v>95</v>
      </c>
      <c r="G494" s="1" t="s">
        <v>14</v>
      </c>
      <c r="H494" s="1" t="s">
        <v>18</v>
      </c>
      <c r="I494" s="1">
        <v>200</v>
      </c>
      <c r="J494" s="1">
        <v>250</v>
      </c>
      <c r="K494" s="1">
        <v>0.14000000000000001</v>
      </c>
      <c r="L494" s="1">
        <v>50000</v>
      </c>
      <c r="M494" s="1">
        <v>43000</v>
      </c>
      <c r="N494" s="1">
        <v>40153.82</v>
      </c>
      <c r="O494" s="1">
        <v>1.07</v>
      </c>
      <c r="P494" s="2" t="s">
        <v>52</v>
      </c>
      <c r="Q494" s="13" t="s">
        <v>34</v>
      </c>
    </row>
    <row r="495" spans="1:17" x14ac:dyDescent="0.45">
      <c r="A495" s="10">
        <v>46044</v>
      </c>
      <c r="B495" s="1" t="s">
        <v>566</v>
      </c>
      <c r="C495" s="1" t="s">
        <v>67</v>
      </c>
      <c r="D495" s="1" t="s">
        <v>15</v>
      </c>
      <c r="E495" s="1" t="s">
        <v>55</v>
      </c>
      <c r="F495" s="1" t="s">
        <v>78</v>
      </c>
      <c r="G495" s="1" t="s">
        <v>20</v>
      </c>
      <c r="H495" s="1" t="s">
        <v>33</v>
      </c>
      <c r="I495" s="1">
        <v>52</v>
      </c>
      <c r="J495" s="1">
        <v>35</v>
      </c>
      <c r="K495" s="1">
        <v>7.0000000000000007E-2</v>
      </c>
      <c r="L495" s="1">
        <v>1820</v>
      </c>
      <c r="M495" s="1">
        <v>1692.6</v>
      </c>
      <c r="N495" s="1">
        <v>1698.36</v>
      </c>
      <c r="O495" s="1">
        <v>1</v>
      </c>
      <c r="P495" s="2" t="s">
        <v>73</v>
      </c>
      <c r="Q495" s="14" t="s">
        <v>16</v>
      </c>
    </row>
    <row r="496" spans="1:17" x14ac:dyDescent="0.45">
      <c r="A496" s="10">
        <v>46069</v>
      </c>
      <c r="B496" s="1" t="s">
        <v>567</v>
      </c>
      <c r="C496" s="1" t="s">
        <v>49</v>
      </c>
      <c r="D496" s="1" t="s">
        <v>28</v>
      </c>
      <c r="E496" s="1" t="s">
        <v>59</v>
      </c>
      <c r="F496" s="1" t="s">
        <v>71</v>
      </c>
      <c r="G496" s="1" t="s">
        <v>20</v>
      </c>
      <c r="H496" s="1" t="s">
        <v>23</v>
      </c>
      <c r="I496" s="1">
        <v>22</v>
      </c>
      <c r="J496" s="1">
        <v>180</v>
      </c>
      <c r="K496" s="1">
        <v>0.06</v>
      </c>
      <c r="L496" s="1">
        <v>3960</v>
      </c>
      <c r="M496" s="1">
        <v>3722.4</v>
      </c>
      <c r="N496" s="1">
        <v>3196.08</v>
      </c>
      <c r="O496" s="1">
        <v>1.1599999999999999</v>
      </c>
      <c r="P496" s="2" t="s">
        <v>73</v>
      </c>
      <c r="Q496" s="13" t="s">
        <v>22</v>
      </c>
    </row>
    <row r="497" spans="1:17" x14ac:dyDescent="0.45">
      <c r="A497" s="10">
        <v>46130</v>
      </c>
      <c r="B497" s="1" t="s">
        <v>568</v>
      </c>
      <c r="C497" s="1" t="s">
        <v>67</v>
      </c>
      <c r="D497" s="1" t="s">
        <v>15</v>
      </c>
      <c r="E497" s="1" t="s">
        <v>55</v>
      </c>
      <c r="F497" s="1" t="s">
        <v>95</v>
      </c>
      <c r="G497" s="1" t="s">
        <v>20</v>
      </c>
      <c r="H497" s="1" t="s">
        <v>33</v>
      </c>
      <c r="I497" s="1">
        <v>104</v>
      </c>
      <c r="J497" s="1">
        <v>35</v>
      </c>
      <c r="K497" s="1">
        <v>0.08</v>
      </c>
      <c r="L497" s="1">
        <v>3640</v>
      </c>
      <c r="M497" s="1">
        <v>3348.8</v>
      </c>
      <c r="N497" s="1">
        <v>2979.5</v>
      </c>
      <c r="O497" s="1">
        <v>1.1200000000000001</v>
      </c>
      <c r="P497" s="2" t="s">
        <v>52</v>
      </c>
      <c r="Q497" s="14" t="s">
        <v>29</v>
      </c>
    </row>
    <row r="498" spans="1:17" x14ac:dyDescent="0.45">
      <c r="A498" s="10">
        <v>46170</v>
      </c>
      <c r="B498" s="1" t="s">
        <v>569</v>
      </c>
      <c r="C498" s="1" t="s">
        <v>64</v>
      </c>
      <c r="D498" s="1" t="s">
        <v>25</v>
      </c>
      <c r="E498" s="1" t="s">
        <v>98</v>
      </c>
      <c r="F498" s="1" t="s">
        <v>95</v>
      </c>
      <c r="G498" s="1" t="s">
        <v>14</v>
      </c>
      <c r="H498" s="1" t="s">
        <v>27</v>
      </c>
      <c r="I498" s="1">
        <v>151</v>
      </c>
      <c r="J498" s="1">
        <v>120</v>
      </c>
      <c r="K498" s="1">
        <v>0.09</v>
      </c>
      <c r="L498" s="1">
        <v>18120</v>
      </c>
      <c r="M498" s="1">
        <v>16489.2</v>
      </c>
      <c r="N498" s="1">
        <v>19575.79</v>
      </c>
      <c r="O498" s="1">
        <v>0.84</v>
      </c>
      <c r="P498" s="2" t="s">
        <v>73</v>
      </c>
      <c r="Q498" s="13" t="s">
        <v>32</v>
      </c>
    </row>
    <row r="499" spans="1:17" x14ac:dyDescent="0.45">
      <c r="A499" s="10">
        <v>46058</v>
      </c>
      <c r="B499" s="1" t="s">
        <v>570</v>
      </c>
      <c r="C499" s="1" t="s">
        <v>54</v>
      </c>
      <c r="D499" s="1" t="s">
        <v>21</v>
      </c>
      <c r="E499" s="1" t="s">
        <v>50</v>
      </c>
      <c r="F499" s="1" t="s">
        <v>78</v>
      </c>
      <c r="G499" s="1" t="s">
        <v>24</v>
      </c>
      <c r="H499" s="1" t="s">
        <v>30</v>
      </c>
      <c r="I499" s="1">
        <v>40</v>
      </c>
      <c r="J499" s="1">
        <v>40</v>
      </c>
      <c r="K499" s="1">
        <v>0.12</v>
      </c>
      <c r="L499" s="1">
        <v>1600</v>
      </c>
      <c r="M499" s="1">
        <v>1408</v>
      </c>
      <c r="N499" s="1">
        <v>1498.41</v>
      </c>
      <c r="O499" s="1">
        <v>0.94</v>
      </c>
      <c r="P499" s="2" t="s">
        <v>73</v>
      </c>
      <c r="Q499" s="14" t="s">
        <v>22</v>
      </c>
    </row>
    <row r="500" spans="1:17" x14ac:dyDescent="0.45">
      <c r="A500" s="10">
        <v>46029</v>
      </c>
      <c r="B500" s="1" t="s">
        <v>571</v>
      </c>
      <c r="C500" s="1" t="s">
        <v>67</v>
      </c>
      <c r="D500" s="1" t="s">
        <v>28</v>
      </c>
      <c r="E500" s="1" t="s">
        <v>70</v>
      </c>
      <c r="F500" s="1" t="s">
        <v>60</v>
      </c>
      <c r="G500" s="1" t="s">
        <v>14</v>
      </c>
      <c r="H500" s="1" t="s">
        <v>27</v>
      </c>
      <c r="I500" s="1">
        <v>142</v>
      </c>
      <c r="J500" s="1">
        <v>120</v>
      </c>
      <c r="K500" s="1">
        <v>0.09</v>
      </c>
      <c r="L500" s="1">
        <v>17040</v>
      </c>
      <c r="M500" s="1">
        <v>15506.4</v>
      </c>
      <c r="N500" s="1">
        <v>14573.76</v>
      </c>
      <c r="O500" s="1">
        <v>1.06</v>
      </c>
      <c r="P500" s="2" t="s">
        <v>52</v>
      </c>
      <c r="Q500" s="13" t="s">
        <v>16</v>
      </c>
    </row>
    <row r="501" spans="1:17" x14ac:dyDescent="0.45">
      <c r="A501" s="10">
        <v>46145</v>
      </c>
      <c r="B501" s="1" t="s">
        <v>572</v>
      </c>
      <c r="C501" s="1" t="s">
        <v>54</v>
      </c>
      <c r="D501" s="1" t="s">
        <v>28</v>
      </c>
      <c r="E501" s="1" t="s">
        <v>59</v>
      </c>
      <c r="F501" s="1" t="s">
        <v>51</v>
      </c>
      <c r="G501" s="1" t="s">
        <v>24</v>
      </c>
      <c r="H501" s="1" t="s">
        <v>30</v>
      </c>
      <c r="I501" s="1">
        <v>33</v>
      </c>
      <c r="J501" s="1">
        <v>40</v>
      </c>
      <c r="K501" s="1">
        <v>0.01</v>
      </c>
      <c r="L501" s="1">
        <v>1320</v>
      </c>
      <c r="M501" s="1">
        <v>1306.8</v>
      </c>
      <c r="N501" s="1">
        <v>1358.86</v>
      </c>
      <c r="O501" s="1">
        <v>0.96</v>
      </c>
      <c r="P501" s="2" t="s">
        <v>73</v>
      </c>
      <c r="Q501" s="14" t="s">
        <v>32</v>
      </c>
    </row>
    <row r="502" spans="1:17" x14ac:dyDescent="0.45">
      <c r="A502" s="10">
        <v>46156</v>
      </c>
      <c r="B502" s="1" t="s">
        <v>573</v>
      </c>
      <c r="C502" s="1" t="s">
        <v>54</v>
      </c>
      <c r="D502" s="1" t="s">
        <v>21</v>
      </c>
      <c r="E502" s="1" t="s">
        <v>50</v>
      </c>
      <c r="F502" s="1" t="s">
        <v>71</v>
      </c>
      <c r="G502" s="1" t="s">
        <v>24</v>
      </c>
      <c r="H502" s="1" t="s">
        <v>35</v>
      </c>
      <c r="I502" s="1">
        <v>137</v>
      </c>
      <c r="J502" s="1">
        <v>30</v>
      </c>
      <c r="K502" s="1">
        <v>0.13</v>
      </c>
      <c r="L502" s="1">
        <v>4110</v>
      </c>
      <c r="M502" s="1">
        <v>3575.7</v>
      </c>
      <c r="N502" s="1">
        <v>2988.97</v>
      </c>
      <c r="O502" s="1">
        <v>1.2</v>
      </c>
      <c r="P502" s="2" t="s">
        <v>73</v>
      </c>
      <c r="Q502" s="13" t="s">
        <v>32</v>
      </c>
    </row>
    <row r="503" spans="1:17" x14ac:dyDescent="0.45">
      <c r="A503" s="10">
        <v>46134</v>
      </c>
      <c r="B503" s="1" t="s">
        <v>574</v>
      </c>
      <c r="C503" s="1" t="s">
        <v>64</v>
      </c>
      <c r="D503" s="1" t="s">
        <v>15</v>
      </c>
      <c r="E503" s="1" t="s">
        <v>62</v>
      </c>
      <c r="F503" s="1" t="s">
        <v>95</v>
      </c>
      <c r="G503" s="1" t="s">
        <v>14</v>
      </c>
      <c r="H503" s="1" t="s">
        <v>27</v>
      </c>
      <c r="I503" s="1">
        <v>88</v>
      </c>
      <c r="J503" s="1">
        <v>120</v>
      </c>
      <c r="K503" s="1">
        <v>0.12</v>
      </c>
      <c r="L503" s="1">
        <v>10560</v>
      </c>
      <c r="M503" s="1">
        <v>9292.7999999999993</v>
      </c>
      <c r="N503" s="1">
        <v>9475.09</v>
      </c>
      <c r="O503" s="1">
        <v>0.98</v>
      </c>
      <c r="P503" s="2" t="s">
        <v>73</v>
      </c>
      <c r="Q503" s="14" t="s">
        <v>29</v>
      </c>
    </row>
    <row r="504" spans="1:17" x14ac:dyDescent="0.45">
      <c r="A504" s="10">
        <v>46147</v>
      </c>
      <c r="B504" s="1" t="s">
        <v>575</v>
      </c>
      <c r="C504" s="1" t="s">
        <v>67</v>
      </c>
      <c r="D504" s="1" t="s">
        <v>25</v>
      </c>
      <c r="E504" s="1" t="s">
        <v>98</v>
      </c>
      <c r="F504" s="1" t="s">
        <v>78</v>
      </c>
      <c r="G504" s="1" t="s">
        <v>20</v>
      </c>
      <c r="H504" s="1" t="s">
        <v>23</v>
      </c>
      <c r="I504" s="1">
        <v>128</v>
      </c>
      <c r="J504" s="1">
        <v>180</v>
      </c>
      <c r="K504" s="1">
        <v>0.04</v>
      </c>
      <c r="L504" s="1">
        <v>23040</v>
      </c>
      <c r="M504" s="1">
        <v>22118.400000000001</v>
      </c>
      <c r="N504" s="1">
        <v>22696.74</v>
      </c>
      <c r="O504" s="1">
        <v>0.97</v>
      </c>
      <c r="P504" s="2" t="s">
        <v>73</v>
      </c>
      <c r="Q504" s="13" t="s">
        <v>32</v>
      </c>
    </row>
    <row r="505" spans="1:17" x14ac:dyDescent="0.45">
      <c r="A505" s="10">
        <v>46057</v>
      </c>
      <c r="B505" s="1" t="s">
        <v>576</v>
      </c>
      <c r="C505" s="1" t="s">
        <v>67</v>
      </c>
      <c r="D505" s="1" t="s">
        <v>28</v>
      </c>
      <c r="E505" s="1" t="s">
        <v>70</v>
      </c>
      <c r="F505" s="1" t="s">
        <v>71</v>
      </c>
      <c r="G505" s="1" t="s">
        <v>24</v>
      </c>
      <c r="H505" s="1" t="s">
        <v>35</v>
      </c>
      <c r="I505" s="1">
        <v>61</v>
      </c>
      <c r="J505" s="1">
        <v>30</v>
      </c>
      <c r="K505" s="1">
        <v>0.03</v>
      </c>
      <c r="L505" s="1">
        <v>1830</v>
      </c>
      <c r="M505" s="1">
        <v>1775.1</v>
      </c>
      <c r="N505" s="1">
        <v>1636.34</v>
      </c>
      <c r="O505" s="1">
        <v>1.08</v>
      </c>
      <c r="P505" s="2" t="s">
        <v>73</v>
      </c>
      <c r="Q505" s="14" t="s">
        <v>22</v>
      </c>
    </row>
    <row r="506" spans="1:17" x14ac:dyDescent="0.45">
      <c r="A506" s="10">
        <v>46032</v>
      </c>
      <c r="B506" s="1" t="s">
        <v>577</v>
      </c>
      <c r="C506" s="1" t="s">
        <v>64</v>
      </c>
      <c r="D506" s="1" t="s">
        <v>21</v>
      </c>
      <c r="E506" s="1" t="s">
        <v>50</v>
      </c>
      <c r="F506" s="1" t="s">
        <v>95</v>
      </c>
      <c r="G506" s="1" t="s">
        <v>24</v>
      </c>
      <c r="H506" s="1" t="s">
        <v>30</v>
      </c>
      <c r="I506" s="1">
        <v>59</v>
      </c>
      <c r="J506" s="1">
        <v>40</v>
      </c>
      <c r="K506" s="1">
        <v>0.01</v>
      </c>
      <c r="L506" s="1">
        <v>2360</v>
      </c>
      <c r="M506" s="1">
        <v>2336.4</v>
      </c>
      <c r="N506" s="1">
        <v>1877.49</v>
      </c>
      <c r="O506" s="1">
        <v>1.24</v>
      </c>
      <c r="P506" s="2" t="s">
        <v>52</v>
      </c>
      <c r="Q506" s="13" t="s">
        <v>16</v>
      </c>
    </row>
    <row r="507" spans="1:17" x14ac:dyDescent="0.45">
      <c r="A507" s="10">
        <v>46188</v>
      </c>
      <c r="B507" s="1" t="s">
        <v>578</v>
      </c>
      <c r="C507" s="1" t="s">
        <v>58</v>
      </c>
      <c r="D507" s="1" t="s">
        <v>28</v>
      </c>
      <c r="E507" s="1" t="s">
        <v>59</v>
      </c>
      <c r="F507" s="1" t="s">
        <v>56</v>
      </c>
      <c r="G507" s="1" t="s">
        <v>24</v>
      </c>
      <c r="H507" s="1" t="s">
        <v>30</v>
      </c>
      <c r="I507" s="1">
        <v>91</v>
      </c>
      <c r="J507" s="1">
        <v>40</v>
      </c>
      <c r="K507" s="1">
        <v>0.14000000000000001</v>
      </c>
      <c r="L507" s="1">
        <v>3640</v>
      </c>
      <c r="M507" s="1">
        <v>3130.4</v>
      </c>
      <c r="N507" s="1">
        <v>3640.89</v>
      </c>
      <c r="O507" s="1">
        <v>0.86</v>
      </c>
      <c r="P507" s="2" t="s">
        <v>73</v>
      </c>
      <c r="Q507" s="14" t="s">
        <v>34</v>
      </c>
    </row>
    <row r="508" spans="1:17" x14ac:dyDescent="0.45">
      <c r="A508" s="10">
        <v>46130</v>
      </c>
      <c r="B508" s="1" t="s">
        <v>579</v>
      </c>
      <c r="C508" s="1" t="s">
        <v>54</v>
      </c>
      <c r="D508" s="1" t="s">
        <v>21</v>
      </c>
      <c r="E508" s="1" t="s">
        <v>50</v>
      </c>
      <c r="F508" s="1" t="s">
        <v>71</v>
      </c>
      <c r="G508" s="1" t="s">
        <v>20</v>
      </c>
      <c r="H508" s="1" t="s">
        <v>33</v>
      </c>
      <c r="I508" s="1">
        <v>28</v>
      </c>
      <c r="J508" s="1">
        <v>35</v>
      </c>
      <c r="K508" s="1">
        <v>0.05</v>
      </c>
      <c r="L508" s="1">
        <v>980</v>
      </c>
      <c r="M508" s="1">
        <v>931</v>
      </c>
      <c r="N508" s="1">
        <v>1014.68</v>
      </c>
      <c r="O508" s="1">
        <v>0.92</v>
      </c>
      <c r="P508" s="2" t="s">
        <v>52</v>
      </c>
      <c r="Q508" s="13" t="s">
        <v>29</v>
      </c>
    </row>
    <row r="509" spans="1:17" x14ac:dyDescent="0.45">
      <c r="A509" s="10">
        <v>46196</v>
      </c>
      <c r="B509" s="1" t="s">
        <v>580</v>
      </c>
      <c r="C509" s="1" t="s">
        <v>64</v>
      </c>
      <c r="D509" s="1" t="s">
        <v>25</v>
      </c>
      <c r="E509" s="1" t="s">
        <v>104</v>
      </c>
      <c r="F509" s="1" t="s">
        <v>51</v>
      </c>
      <c r="G509" s="1" t="s">
        <v>14</v>
      </c>
      <c r="H509" s="1" t="s">
        <v>18</v>
      </c>
      <c r="I509" s="1">
        <v>12</v>
      </c>
      <c r="J509" s="1">
        <v>250</v>
      </c>
      <c r="K509" s="1">
        <v>0.1</v>
      </c>
      <c r="L509" s="1">
        <v>3000</v>
      </c>
      <c r="M509" s="1">
        <v>2700</v>
      </c>
      <c r="N509" s="1">
        <v>2943.66</v>
      </c>
      <c r="O509" s="1">
        <v>0.92</v>
      </c>
      <c r="P509" s="2" t="s">
        <v>52</v>
      </c>
      <c r="Q509" s="14" t="s">
        <v>34</v>
      </c>
    </row>
    <row r="510" spans="1:17" x14ac:dyDescent="0.45">
      <c r="A510" s="10">
        <v>46083</v>
      </c>
      <c r="B510" s="1" t="s">
        <v>581</v>
      </c>
      <c r="C510" s="1" t="s">
        <v>64</v>
      </c>
      <c r="D510" s="1" t="s">
        <v>25</v>
      </c>
      <c r="E510" s="1" t="s">
        <v>104</v>
      </c>
      <c r="F510" s="1" t="s">
        <v>60</v>
      </c>
      <c r="G510" s="1" t="s">
        <v>14</v>
      </c>
      <c r="H510" s="1" t="s">
        <v>18</v>
      </c>
      <c r="I510" s="1">
        <v>80</v>
      </c>
      <c r="J510" s="1">
        <v>250</v>
      </c>
      <c r="K510" s="1">
        <v>0.01</v>
      </c>
      <c r="L510" s="1">
        <v>20000</v>
      </c>
      <c r="M510" s="1">
        <v>19800</v>
      </c>
      <c r="N510" s="1">
        <v>21806.06</v>
      </c>
      <c r="O510" s="1">
        <v>0.91</v>
      </c>
      <c r="P510" s="2" t="s">
        <v>52</v>
      </c>
      <c r="Q510" s="13" t="s">
        <v>26</v>
      </c>
    </row>
    <row r="511" spans="1:17" x14ac:dyDescent="0.45">
      <c r="A511" s="10">
        <v>46030</v>
      </c>
      <c r="B511" s="1" t="s">
        <v>582</v>
      </c>
      <c r="C511" s="1" t="s">
        <v>54</v>
      </c>
      <c r="D511" s="1" t="s">
        <v>21</v>
      </c>
      <c r="E511" s="1" t="s">
        <v>50</v>
      </c>
      <c r="F511" s="1" t="s">
        <v>56</v>
      </c>
      <c r="G511" s="1" t="s">
        <v>14</v>
      </c>
      <c r="H511" s="1" t="s">
        <v>18</v>
      </c>
      <c r="I511" s="1">
        <v>5</v>
      </c>
      <c r="J511" s="1">
        <v>250</v>
      </c>
      <c r="K511" s="1">
        <v>0.06</v>
      </c>
      <c r="L511" s="1">
        <v>1250</v>
      </c>
      <c r="M511" s="1">
        <v>1175</v>
      </c>
      <c r="N511" s="1">
        <v>1209.76</v>
      </c>
      <c r="O511" s="1">
        <v>0.97</v>
      </c>
      <c r="P511" s="2" t="s">
        <v>52</v>
      </c>
      <c r="Q511" s="14" t="s">
        <v>16</v>
      </c>
    </row>
    <row r="512" spans="1:17" x14ac:dyDescent="0.45">
      <c r="A512" s="10">
        <v>46183</v>
      </c>
      <c r="B512" s="1" t="s">
        <v>583</v>
      </c>
      <c r="C512" s="1" t="s">
        <v>75</v>
      </c>
      <c r="D512" s="1" t="s">
        <v>15</v>
      </c>
      <c r="E512" s="1" t="s">
        <v>62</v>
      </c>
      <c r="F512" s="1" t="s">
        <v>51</v>
      </c>
      <c r="G512" s="1" t="s">
        <v>14</v>
      </c>
      <c r="H512" s="1" t="s">
        <v>18</v>
      </c>
      <c r="I512" s="1">
        <v>37</v>
      </c>
      <c r="J512" s="1">
        <v>250</v>
      </c>
      <c r="K512" s="1">
        <v>0.01</v>
      </c>
      <c r="L512" s="1">
        <v>9250</v>
      </c>
      <c r="M512" s="1">
        <v>9157.5</v>
      </c>
      <c r="N512" s="1">
        <v>7742.88</v>
      </c>
      <c r="O512" s="1">
        <v>1.18</v>
      </c>
      <c r="P512" s="2" t="s">
        <v>52</v>
      </c>
      <c r="Q512" s="13" t="s">
        <v>34</v>
      </c>
    </row>
    <row r="513" spans="1:17" x14ac:dyDescent="0.45">
      <c r="A513" s="10">
        <v>46028</v>
      </c>
      <c r="B513" s="1" t="s">
        <v>584</v>
      </c>
      <c r="C513" s="1" t="s">
        <v>54</v>
      </c>
      <c r="D513" s="1" t="s">
        <v>15</v>
      </c>
      <c r="E513" s="1" t="s">
        <v>62</v>
      </c>
      <c r="F513" s="1" t="s">
        <v>51</v>
      </c>
      <c r="G513" s="1" t="s">
        <v>20</v>
      </c>
      <c r="H513" s="1" t="s">
        <v>23</v>
      </c>
      <c r="I513" s="1">
        <v>78</v>
      </c>
      <c r="J513" s="1">
        <v>180</v>
      </c>
      <c r="K513" s="1">
        <v>7.0000000000000007E-2</v>
      </c>
      <c r="L513" s="1">
        <v>14040</v>
      </c>
      <c r="M513" s="1">
        <v>13057.2</v>
      </c>
      <c r="N513" s="1">
        <v>13813.22</v>
      </c>
      <c r="O513" s="1">
        <v>0.95</v>
      </c>
      <c r="P513" s="2" t="s">
        <v>52</v>
      </c>
      <c r="Q513" s="14" t="s">
        <v>16</v>
      </c>
    </row>
    <row r="514" spans="1:17" x14ac:dyDescent="0.45">
      <c r="A514" s="10">
        <v>46137</v>
      </c>
      <c r="B514" s="1" t="s">
        <v>585</v>
      </c>
      <c r="C514" s="1" t="s">
        <v>58</v>
      </c>
      <c r="D514" s="1" t="s">
        <v>25</v>
      </c>
      <c r="E514" s="1" t="s">
        <v>98</v>
      </c>
      <c r="F514" s="1" t="s">
        <v>71</v>
      </c>
      <c r="G514" s="1" t="s">
        <v>20</v>
      </c>
      <c r="H514" s="1" t="s">
        <v>33</v>
      </c>
      <c r="I514" s="1">
        <v>85</v>
      </c>
      <c r="J514" s="1">
        <v>35</v>
      </c>
      <c r="K514" s="1">
        <v>0.03</v>
      </c>
      <c r="L514" s="1">
        <v>2975</v>
      </c>
      <c r="M514" s="1">
        <v>2885.75</v>
      </c>
      <c r="N514" s="1">
        <v>2746.82</v>
      </c>
      <c r="O514" s="1">
        <v>1.05</v>
      </c>
      <c r="P514" s="2" t="s">
        <v>73</v>
      </c>
      <c r="Q514" s="13" t="s">
        <v>29</v>
      </c>
    </row>
    <row r="515" spans="1:17" x14ac:dyDescent="0.45">
      <c r="A515" s="10">
        <v>46166</v>
      </c>
      <c r="B515" s="1" t="s">
        <v>586</v>
      </c>
      <c r="C515" s="1" t="s">
        <v>54</v>
      </c>
      <c r="D515" s="1" t="s">
        <v>25</v>
      </c>
      <c r="E515" s="1" t="s">
        <v>104</v>
      </c>
      <c r="F515" s="1" t="s">
        <v>60</v>
      </c>
      <c r="G515" s="1" t="s">
        <v>24</v>
      </c>
      <c r="H515" s="1" t="s">
        <v>30</v>
      </c>
      <c r="I515" s="1">
        <v>113</v>
      </c>
      <c r="J515" s="1">
        <v>40</v>
      </c>
      <c r="K515" s="1">
        <v>0.15</v>
      </c>
      <c r="L515" s="1">
        <v>4520</v>
      </c>
      <c r="M515" s="1">
        <v>3842</v>
      </c>
      <c r="N515" s="1">
        <v>4346.67</v>
      </c>
      <c r="O515" s="1">
        <v>0.88</v>
      </c>
      <c r="P515" s="2" t="s">
        <v>52</v>
      </c>
      <c r="Q515" s="14" t="s">
        <v>32</v>
      </c>
    </row>
    <row r="516" spans="1:17" x14ac:dyDescent="0.45">
      <c r="A516" s="10">
        <v>46184</v>
      </c>
      <c r="B516" s="1" t="s">
        <v>587</v>
      </c>
      <c r="C516" s="1" t="s">
        <v>58</v>
      </c>
      <c r="D516" s="1" t="s">
        <v>25</v>
      </c>
      <c r="E516" s="1" t="s">
        <v>104</v>
      </c>
      <c r="F516" s="1" t="s">
        <v>56</v>
      </c>
      <c r="G516" s="1" t="s">
        <v>24</v>
      </c>
      <c r="H516" s="1" t="s">
        <v>30</v>
      </c>
      <c r="I516" s="1">
        <v>42</v>
      </c>
      <c r="J516" s="1">
        <v>40</v>
      </c>
      <c r="K516" s="1">
        <v>0.01</v>
      </c>
      <c r="L516" s="1">
        <v>1680</v>
      </c>
      <c r="M516" s="1">
        <v>1663.2</v>
      </c>
      <c r="N516" s="1">
        <v>1498.43</v>
      </c>
      <c r="O516" s="1">
        <v>1.1100000000000001</v>
      </c>
      <c r="P516" s="2" t="s">
        <v>73</v>
      </c>
      <c r="Q516" s="13" t="s">
        <v>34</v>
      </c>
    </row>
    <row r="517" spans="1:17" x14ac:dyDescent="0.45">
      <c r="A517" s="10">
        <v>46185</v>
      </c>
      <c r="B517" s="1" t="s">
        <v>588</v>
      </c>
      <c r="C517" s="1" t="s">
        <v>75</v>
      </c>
      <c r="D517" s="1" t="s">
        <v>25</v>
      </c>
      <c r="E517" s="1" t="s">
        <v>104</v>
      </c>
      <c r="F517" s="1" t="s">
        <v>56</v>
      </c>
      <c r="G517" s="1" t="s">
        <v>20</v>
      </c>
      <c r="H517" s="1" t="s">
        <v>23</v>
      </c>
      <c r="I517" s="1">
        <v>35</v>
      </c>
      <c r="J517" s="1">
        <v>180</v>
      </c>
      <c r="K517" s="1">
        <v>0.11</v>
      </c>
      <c r="L517" s="1">
        <v>6300</v>
      </c>
      <c r="M517" s="1">
        <v>5607</v>
      </c>
      <c r="N517" s="1">
        <v>5448.16</v>
      </c>
      <c r="O517" s="1">
        <v>1.03</v>
      </c>
      <c r="P517" s="2" t="s">
        <v>52</v>
      </c>
      <c r="Q517" s="14" t="s">
        <v>34</v>
      </c>
    </row>
    <row r="518" spans="1:17" x14ac:dyDescent="0.45">
      <c r="A518" s="10">
        <v>46137</v>
      </c>
      <c r="B518" s="1" t="s">
        <v>589</v>
      </c>
      <c r="C518" s="1" t="s">
        <v>64</v>
      </c>
      <c r="D518" s="1" t="s">
        <v>28</v>
      </c>
      <c r="E518" s="1" t="s">
        <v>59</v>
      </c>
      <c r="F518" s="1" t="s">
        <v>95</v>
      </c>
      <c r="G518" s="1" t="s">
        <v>24</v>
      </c>
      <c r="H518" s="1" t="s">
        <v>30</v>
      </c>
      <c r="I518" s="1">
        <v>83</v>
      </c>
      <c r="J518" s="1">
        <v>40</v>
      </c>
      <c r="K518" s="1">
        <v>0.03</v>
      </c>
      <c r="L518" s="1">
        <v>3320</v>
      </c>
      <c r="M518" s="1">
        <v>3220.4</v>
      </c>
      <c r="N518" s="1">
        <v>3677.04</v>
      </c>
      <c r="O518" s="1">
        <v>0.88</v>
      </c>
      <c r="P518" s="2" t="s">
        <v>73</v>
      </c>
      <c r="Q518" s="13" t="s">
        <v>29</v>
      </c>
    </row>
    <row r="519" spans="1:17" x14ac:dyDescent="0.45">
      <c r="A519" s="10">
        <v>46096</v>
      </c>
      <c r="B519" s="1" t="s">
        <v>590</v>
      </c>
      <c r="C519" s="1" t="s">
        <v>67</v>
      </c>
      <c r="D519" s="1" t="s">
        <v>28</v>
      </c>
      <c r="E519" s="1" t="s">
        <v>70</v>
      </c>
      <c r="F519" s="1" t="s">
        <v>71</v>
      </c>
      <c r="G519" s="1" t="s">
        <v>14</v>
      </c>
      <c r="H519" s="1" t="s">
        <v>27</v>
      </c>
      <c r="I519" s="1">
        <v>71</v>
      </c>
      <c r="J519" s="1">
        <v>120</v>
      </c>
      <c r="K519" s="1">
        <v>0.04</v>
      </c>
      <c r="L519" s="1">
        <v>8520</v>
      </c>
      <c r="M519" s="1">
        <v>8179.2</v>
      </c>
      <c r="N519" s="1">
        <v>6717.64</v>
      </c>
      <c r="O519" s="1">
        <v>1.22</v>
      </c>
      <c r="P519" s="2" t="s">
        <v>73</v>
      </c>
      <c r="Q519" s="14" t="s">
        <v>26</v>
      </c>
    </row>
    <row r="520" spans="1:17" x14ac:dyDescent="0.45">
      <c r="A520" s="10">
        <v>46099</v>
      </c>
      <c r="B520" s="1" t="s">
        <v>591</v>
      </c>
      <c r="C520" s="1" t="s">
        <v>67</v>
      </c>
      <c r="D520" s="1" t="s">
        <v>25</v>
      </c>
      <c r="E520" s="1" t="s">
        <v>68</v>
      </c>
      <c r="F520" s="1" t="s">
        <v>78</v>
      </c>
      <c r="G520" s="1" t="s">
        <v>20</v>
      </c>
      <c r="H520" s="1" t="s">
        <v>33</v>
      </c>
      <c r="I520" s="1">
        <v>51</v>
      </c>
      <c r="J520" s="1">
        <v>35</v>
      </c>
      <c r="K520" s="1">
        <v>0.05</v>
      </c>
      <c r="L520" s="1">
        <v>1785</v>
      </c>
      <c r="M520" s="1">
        <v>1695.75</v>
      </c>
      <c r="N520" s="1">
        <v>1408.7</v>
      </c>
      <c r="O520" s="1">
        <v>1.2</v>
      </c>
      <c r="P520" s="2" t="s">
        <v>73</v>
      </c>
      <c r="Q520" s="13" t="s">
        <v>26</v>
      </c>
    </row>
    <row r="521" spans="1:17" x14ac:dyDescent="0.45">
      <c r="A521" s="10">
        <v>46097</v>
      </c>
      <c r="B521" s="1" t="s">
        <v>592</v>
      </c>
      <c r="C521" s="1" t="s">
        <v>67</v>
      </c>
      <c r="D521" s="1" t="s">
        <v>28</v>
      </c>
      <c r="E521" s="1" t="s">
        <v>59</v>
      </c>
      <c r="F521" s="1" t="s">
        <v>60</v>
      </c>
      <c r="G521" s="1" t="s">
        <v>24</v>
      </c>
      <c r="H521" s="1" t="s">
        <v>35</v>
      </c>
      <c r="I521" s="1">
        <v>168</v>
      </c>
      <c r="J521" s="1">
        <v>30</v>
      </c>
      <c r="K521" s="1">
        <v>0.01</v>
      </c>
      <c r="L521" s="1">
        <v>5040</v>
      </c>
      <c r="M521" s="1">
        <v>4989.6000000000004</v>
      </c>
      <c r="N521" s="1">
        <v>4900.91</v>
      </c>
      <c r="O521" s="1">
        <v>1.02</v>
      </c>
      <c r="P521" s="2" t="s">
        <v>52</v>
      </c>
      <c r="Q521" s="14" t="s">
        <v>26</v>
      </c>
    </row>
    <row r="522" spans="1:17" x14ac:dyDescent="0.45">
      <c r="A522" s="10">
        <v>46085</v>
      </c>
      <c r="B522" s="1" t="s">
        <v>593</v>
      </c>
      <c r="C522" s="1" t="s">
        <v>49</v>
      </c>
      <c r="D522" s="1" t="s">
        <v>25</v>
      </c>
      <c r="E522" s="1" t="s">
        <v>98</v>
      </c>
      <c r="F522" s="1" t="s">
        <v>78</v>
      </c>
      <c r="G522" s="1" t="s">
        <v>14</v>
      </c>
      <c r="H522" s="1" t="s">
        <v>27</v>
      </c>
      <c r="I522" s="1">
        <v>81</v>
      </c>
      <c r="J522" s="1">
        <v>120</v>
      </c>
      <c r="K522" s="1">
        <v>0.1</v>
      </c>
      <c r="L522" s="1">
        <v>9720</v>
      </c>
      <c r="M522" s="1">
        <v>8748</v>
      </c>
      <c r="N522" s="1">
        <v>9480.89</v>
      </c>
      <c r="O522" s="1">
        <v>0.92</v>
      </c>
      <c r="P522" s="2" t="s">
        <v>52</v>
      </c>
      <c r="Q522" s="13" t="s">
        <v>26</v>
      </c>
    </row>
    <row r="523" spans="1:17" x14ac:dyDescent="0.45">
      <c r="A523" s="10">
        <v>46166</v>
      </c>
      <c r="B523" s="1" t="s">
        <v>594</v>
      </c>
      <c r="C523" s="1" t="s">
        <v>49</v>
      </c>
      <c r="D523" s="1" t="s">
        <v>28</v>
      </c>
      <c r="E523" s="1" t="s">
        <v>65</v>
      </c>
      <c r="F523" s="1" t="s">
        <v>78</v>
      </c>
      <c r="G523" s="1" t="s">
        <v>20</v>
      </c>
      <c r="H523" s="1" t="s">
        <v>33</v>
      </c>
      <c r="I523" s="1">
        <v>48</v>
      </c>
      <c r="J523" s="1">
        <v>35</v>
      </c>
      <c r="K523" s="1">
        <v>0.01</v>
      </c>
      <c r="L523" s="1">
        <v>1680</v>
      </c>
      <c r="M523" s="1">
        <v>1663.2</v>
      </c>
      <c r="N523" s="1">
        <v>1925.97</v>
      </c>
      <c r="O523" s="1">
        <v>0.86</v>
      </c>
      <c r="P523" s="2" t="s">
        <v>52</v>
      </c>
      <c r="Q523" s="14" t="s">
        <v>32</v>
      </c>
    </row>
    <row r="524" spans="1:17" x14ac:dyDescent="0.45">
      <c r="A524" s="10">
        <v>46088</v>
      </c>
      <c r="B524" s="1" t="s">
        <v>595</v>
      </c>
      <c r="C524" s="1" t="s">
        <v>64</v>
      </c>
      <c r="D524" s="1" t="s">
        <v>25</v>
      </c>
      <c r="E524" s="1" t="s">
        <v>104</v>
      </c>
      <c r="F524" s="1" t="s">
        <v>51</v>
      </c>
      <c r="G524" s="1" t="s">
        <v>24</v>
      </c>
      <c r="H524" s="1" t="s">
        <v>30</v>
      </c>
      <c r="I524" s="1">
        <v>122</v>
      </c>
      <c r="J524" s="1">
        <v>40</v>
      </c>
      <c r="K524" s="1">
        <v>0.05</v>
      </c>
      <c r="L524" s="1">
        <v>4880</v>
      </c>
      <c r="M524" s="1">
        <v>4636</v>
      </c>
      <c r="N524" s="1">
        <v>4175.6400000000003</v>
      </c>
      <c r="O524" s="1">
        <v>1.1100000000000001</v>
      </c>
      <c r="P524" s="2" t="s">
        <v>52</v>
      </c>
      <c r="Q524" s="13" t="s">
        <v>26</v>
      </c>
    </row>
    <row r="525" spans="1:17" x14ac:dyDescent="0.45">
      <c r="A525" s="10">
        <v>46105</v>
      </c>
      <c r="B525" s="1" t="s">
        <v>596</v>
      </c>
      <c r="C525" s="1" t="s">
        <v>49</v>
      </c>
      <c r="D525" s="1" t="s">
        <v>21</v>
      </c>
      <c r="E525" s="1" t="s">
        <v>80</v>
      </c>
      <c r="F525" s="1" t="s">
        <v>78</v>
      </c>
      <c r="G525" s="1" t="s">
        <v>14</v>
      </c>
      <c r="H525" s="1" t="s">
        <v>18</v>
      </c>
      <c r="I525" s="1">
        <v>173</v>
      </c>
      <c r="J525" s="1">
        <v>250</v>
      </c>
      <c r="K525" s="1">
        <v>0.09</v>
      </c>
      <c r="L525" s="1">
        <v>43250</v>
      </c>
      <c r="M525" s="1">
        <v>39357.5</v>
      </c>
      <c r="N525" s="1">
        <v>33304.28</v>
      </c>
      <c r="O525" s="1">
        <v>1.18</v>
      </c>
      <c r="P525" s="2" t="s">
        <v>73</v>
      </c>
      <c r="Q525" s="14" t="s">
        <v>26</v>
      </c>
    </row>
    <row r="526" spans="1:17" x14ac:dyDescent="0.45">
      <c r="A526" s="10">
        <v>46048</v>
      </c>
      <c r="B526" s="1" t="s">
        <v>597</v>
      </c>
      <c r="C526" s="1" t="s">
        <v>49</v>
      </c>
      <c r="D526" s="1" t="s">
        <v>21</v>
      </c>
      <c r="E526" s="1" t="s">
        <v>80</v>
      </c>
      <c r="F526" s="1" t="s">
        <v>56</v>
      </c>
      <c r="G526" s="1" t="s">
        <v>14</v>
      </c>
      <c r="H526" s="1" t="s">
        <v>27</v>
      </c>
      <c r="I526" s="1">
        <v>35</v>
      </c>
      <c r="J526" s="1">
        <v>120</v>
      </c>
      <c r="K526" s="1">
        <v>0.11</v>
      </c>
      <c r="L526" s="1">
        <v>4200</v>
      </c>
      <c r="M526" s="1">
        <v>3738</v>
      </c>
      <c r="N526" s="1">
        <v>4355.59</v>
      </c>
      <c r="O526" s="1">
        <v>0.86</v>
      </c>
      <c r="P526" s="2" t="s">
        <v>73</v>
      </c>
      <c r="Q526" s="13" t="s">
        <v>16</v>
      </c>
    </row>
    <row r="527" spans="1:17" x14ac:dyDescent="0.45">
      <c r="A527" s="10">
        <v>46135</v>
      </c>
      <c r="B527" s="1" t="s">
        <v>598</v>
      </c>
      <c r="C527" s="1" t="s">
        <v>75</v>
      </c>
      <c r="D527" s="1" t="s">
        <v>15</v>
      </c>
      <c r="E527" s="1" t="s">
        <v>55</v>
      </c>
      <c r="F527" s="1" t="s">
        <v>71</v>
      </c>
      <c r="G527" s="1" t="s">
        <v>20</v>
      </c>
      <c r="H527" s="1" t="s">
        <v>23</v>
      </c>
      <c r="I527" s="1">
        <v>160</v>
      </c>
      <c r="J527" s="1">
        <v>180</v>
      </c>
      <c r="K527" s="1">
        <v>0.14000000000000001</v>
      </c>
      <c r="L527" s="1">
        <v>28800</v>
      </c>
      <c r="M527" s="1">
        <v>24768</v>
      </c>
      <c r="N527" s="1">
        <v>25366.14</v>
      </c>
      <c r="O527" s="1">
        <v>0.98</v>
      </c>
      <c r="P527" s="2" t="s">
        <v>52</v>
      </c>
      <c r="Q527" s="14" t="s">
        <v>29</v>
      </c>
    </row>
    <row r="528" spans="1:17" x14ac:dyDescent="0.45">
      <c r="A528" s="10">
        <v>46199</v>
      </c>
      <c r="B528" s="1" t="s">
        <v>599</v>
      </c>
      <c r="C528" s="1" t="s">
        <v>64</v>
      </c>
      <c r="D528" s="1" t="s">
        <v>21</v>
      </c>
      <c r="E528" s="1" t="s">
        <v>80</v>
      </c>
      <c r="F528" s="1" t="s">
        <v>60</v>
      </c>
      <c r="G528" s="1" t="s">
        <v>20</v>
      </c>
      <c r="H528" s="1" t="s">
        <v>23</v>
      </c>
      <c r="I528" s="1">
        <v>137</v>
      </c>
      <c r="J528" s="1">
        <v>180</v>
      </c>
      <c r="K528" s="1">
        <v>0.03</v>
      </c>
      <c r="L528" s="1">
        <v>24660</v>
      </c>
      <c r="M528" s="1">
        <v>23920.2</v>
      </c>
      <c r="N528" s="1">
        <v>24734.25</v>
      </c>
      <c r="O528" s="1">
        <v>0.97</v>
      </c>
      <c r="P528" s="2" t="s">
        <v>52</v>
      </c>
      <c r="Q528" s="13" t="s">
        <v>34</v>
      </c>
    </row>
    <row r="529" spans="1:17" x14ac:dyDescent="0.45">
      <c r="A529" s="10">
        <v>46193</v>
      </c>
      <c r="B529" s="1" t="s">
        <v>600</v>
      </c>
      <c r="C529" s="1" t="s">
        <v>67</v>
      </c>
      <c r="D529" s="1" t="s">
        <v>21</v>
      </c>
      <c r="E529" s="1" t="s">
        <v>50</v>
      </c>
      <c r="F529" s="1" t="s">
        <v>95</v>
      </c>
      <c r="G529" s="1" t="s">
        <v>24</v>
      </c>
      <c r="H529" s="1" t="s">
        <v>35</v>
      </c>
      <c r="I529" s="1">
        <v>179</v>
      </c>
      <c r="J529" s="1">
        <v>30</v>
      </c>
      <c r="K529" s="1">
        <v>0.12</v>
      </c>
      <c r="L529" s="1">
        <v>5370</v>
      </c>
      <c r="M529" s="1">
        <v>4725.6000000000004</v>
      </c>
      <c r="N529" s="1">
        <v>5051.7700000000004</v>
      </c>
      <c r="O529" s="1">
        <v>0.94</v>
      </c>
      <c r="P529" s="2" t="s">
        <v>73</v>
      </c>
      <c r="Q529" s="14" t="s">
        <v>34</v>
      </c>
    </row>
    <row r="530" spans="1:17" x14ac:dyDescent="0.45">
      <c r="A530" s="10">
        <v>46040</v>
      </c>
      <c r="B530" s="1" t="s">
        <v>601</v>
      </c>
      <c r="C530" s="1" t="s">
        <v>58</v>
      </c>
      <c r="D530" s="1" t="s">
        <v>28</v>
      </c>
      <c r="E530" s="1" t="s">
        <v>82</v>
      </c>
      <c r="F530" s="1" t="s">
        <v>71</v>
      </c>
      <c r="G530" s="1" t="s">
        <v>20</v>
      </c>
      <c r="H530" s="1" t="s">
        <v>23</v>
      </c>
      <c r="I530" s="1">
        <v>197</v>
      </c>
      <c r="J530" s="1">
        <v>180</v>
      </c>
      <c r="K530" s="1">
        <v>0.1</v>
      </c>
      <c r="L530" s="1">
        <v>35460</v>
      </c>
      <c r="M530" s="1">
        <v>31914</v>
      </c>
      <c r="N530" s="1">
        <v>33082.94</v>
      </c>
      <c r="O530" s="1">
        <v>0.96</v>
      </c>
      <c r="P530" s="2" t="s">
        <v>73</v>
      </c>
      <c r="Q530" s="13" t="s">
        <v>16</v>
      </c>
    </row>
    <row r="531" spans="1:17" x14ac:dyDescent="0.45">
      <c r="A531" s="10">
        <v>46092</v>
      </c>
      <c r="B531" s="1" t="s">
        <v>602</v>
      </c>
      <c r="C531" s="1" t="s">
        <v>64</v>
      </c>
      <c r="D531" s="1" t="s">
        <v>28</v>
      </c>
      <c r="E531" s="1" t="s">
        <v>65</v>
      </c>
      <c r="F531" s="1" t="s">
        <v>51</v>
      </c>
      <c r="G531" s="1" t="s">
        <v>14</v>
      </c>
      <c r="H531" s="1" t="s">
        <v>27</v>
      </c>
      <c r="I531" s="1">
        <v>28</v>
      </c>
      <c r="J531" s="1">
        <v>120</v>
      </c>
      <c r="K531" s="1">
        <v>0.09</v>
      </c>
      <c r="L531" s="1">
        <v>3360</v>
      </c>
      <c r="M531" s="1">
        <v>3057.6</v>
      </c>
      <c r="N531" s="1">
        <v>2882.62</v>
      </c>
      <c r="O531" s="1">
        <v>1.06</v>
      </c>
      <c r="P531" s="2" t="s">
        <v>73</v>
      </c>
      <c r="Q531" s="14" t="s">
        <v>26</v>
      </c>
    </row>
    <row r="532" spans="1:17" x14ac:dyDescent="0.45">
      <c r="A532" s="10">
        <v>46127</v>
      </c>
      <c r="B532" s="1" t="s">
        <v>603</v>
      </c>
      <c r="C532" s="1" t="s">
        <v>75</v>
      </c>
      <c r="D532" s="1" t="s">
        <v>21</v>
      </c>
      <c r="E532" s="1" t="s">
        <v>80</v>
      </c>
      <c r="F532" s="1" t="s">
        <v>78</v>
      </c>
      <c r="G532" s="1" t="s">
        <v>24</v>
      </c>
      <c r="H532" s="1" t="s">
        <v>30</v>
      </c>
      <c r="I532" s="1">
        <v>47</v>
      </c>
      <c r="J532" s="1">
        <v>40</v>
      </c>
      <c r="K532" s="1">
        <v>0.12</v>
      </c>
      <c r="L532" s="1">
        <v>1880</v>
      </c>
      <c r="M532" s="1">
        <v>1654.4</v>
      </c>
      <c r="N532" s="1">
        <v>1866.32</v>
      </c>
      <c r="O532" s="1">
        <v>0.89</v>
      </c>
      <c r="P532" s="2" t="s">
        <v>73</v>
      </c>
      <c r="Q532" s="13" t="s">
        <v>29</v>
      </c>
    </row>
    <row r="533" spans="1:17" x14ac:dyDescent="0.45">
      <c r="A533" s="10">
        <v>46143</v>
      </c>
      <c r="B533" s="1" t="s">
        <v>604</v>
      </c>
      <c r="C533" s="1" t="s">
        <v>67</v>
      </c>
      <c r="D533" s="1" t="s">
        <v>21</v>
      </c>
      <c r="E533" s="1" t="s">
        <v>50</v>
      </c>
      <c r="F533" s="1" t="s">
        <v>71</v>
      </c>
      <c r="G533" s="1" t="s">
        <v>20</v>
      </c>
      <c r="H533" s="1" t="s">
        <v>23</v>
      </c>
      <c r="I533" s="1">
        <v>71</v>
      </c>
      <c r="J533" s="1">
        <v>180</v>
      </c>
      <c r="K533" s="1">
        <v>0.09</v>
      </c>
      <c r="L533" s="1">
        <v>12780</v>
      </c>
      <c r="M533" s="1">
        <v>11629.8</v>
      </c>
      <c r="N533" s="1">
        <v>13774.48</v>
      </c>
      <c r="O533" s="1">
        <v>0.84</v>
      </c>
      <c r="P533" s="2" t="s">
        <v>52</v>
      </c>
      <c r="Q533" s="14" t="s">
        <v>32</v>
      </c>
    </row>
    <row r="534" spans="1:17" x14ac:dyDescent="0.45">
      <c r="A534" s="10">
        <v>46125</v>
      </c>
      <c r="B534" s="1" t="s">
        <v>605</v>
      </c>
      <c r="C534" s="1" t="s">
        <v>54</v>
      </c>
      <c r="D534" s="1" t="s">
        <v>15</v>
      </c>
      <c r="E534" s="1" t="s">
        <v>55</v>
      </c>
      <c r="F534" s="1" t="s">
        <v>71</v>
      </c>
      <c r="G534" s="1" t="s">
        <v>20</v>
      </c>
      <c r="H534" s="1" t="s">
        <v>23</v>
      </c>
      <c r="I534" s="1">
        <v>55</v>
      </c>
      <c r="J534" s="1">
        <v>180</v>
      </c>
      <c r="K534" s="1">
        <v>0.03</v>
      </c>
      <c r="L534" s="1">
        <v>9900</v>
      </c>
      <c r="M534" s="1">
        <v>9603</v>
      </c>
      <c r="N534" s="1">
        <v>9188.2000000000007</v>
      </c>
      <c r="O534" s="1">
        <v>1.05</v>
      </c>
      <c r="P534" s="2" t="s">
        <v>73</v>
      </c>
      <c r="Q534" s="13" t="s">
        <v>29</v>
      </c>
    </row>
    <row r="535" spans="1:17" x14ac:dyDescent="0.45">
      <c r="A535" s="10">
        <v>46133</v>
      </c>
      <c r="B535" s="1" t="s">
        <v>606</v>
      </c>
      <c r="C535" s="1" t="s">
        <v>67</v>
      </c>
      <c r="D535" s="1" t="s">
        <v>15</v>
      </c>
      <c r="E535" s="1" t="s">
        <v>62</v>
      </c>
      <c r="F535" s="1" t="s">
        <v>56</v>
      </c>
      <c r="G535" s="1" t="s">
        <v>24</v>
      </c>
      <c r="H535" s="1" t="s">
        <v>35</v>
      </c>
      <c r="I535" s="1">
        <v>44</v>
      </c>
      <c r="J535" s="1">
        <v>30</v>
      </c>
      <c r="K535" s="1">
        <v>0.02</v>
      </c>
      <c r="L535" s="1">
        <v>1320</v>
      </c>
      <c r="M535" s="1">
        <v>1293.5999999999999</v>
      </c>
      <c r="N535" s="1">
        <v>1471.75</v>
      </c>
      <c r="O535" s="1">
        <v>0.88</v>
      </c>
      <c r="P535" s="2" t="s">
        <v>52</v>
      </c>
      <c r="Q535" s="14" t="s">
        <v>29</v>
      </c>
    </row>
    <row r="536" spans="1:17" x14ac:dyDescent="0.45">
      <c r="A536" s="10">
        <v>46165</v>
      </c>
      <c r="B536" s="1" t="s">
        <v>607</v>
      </c>
      <c r="C536" s="1" t="s">
        <v>58</v>
      </c>
      <c r="D536" s="1" t="s">
        <v>21</v>
      </c>
      <c r="E536" s="1" t="s">
        <v>80</v>
      </c>
      <c r="F536" s="1" t="s">
        <v>60</v>
      </c>
      <c r="G536" s="1" t="s">
        <v>24</v>
      </c>
      <c r="H536" s="1" t="s">
        <v>35</v>
      </c>
      <c r="I536" s="1">
        <v>29</v>
      </c>
      <c r="J536" s="1">
        <v>30</v>
      </c>
      <c r="K536" s="1">
        <v>0.15</v>
      </c>
      <c r="L536" s="1">
        <v>870</v>
      </c>
      <c r="M536" s="1">
        <v>739.5</v>
      </c>
      <c r="N536" s="1">
        <v>773</v>
      </c>
      <c r="O536" s="1">
        <v>0.96</v>
      </c>
      <c r="P536" s="2" t="s">
        <v>52</v>
      </c>
      <c r="Q536" s="13" t="s">
        <v>32</v>
      </c>
    </row>
    <row r="537" spans="1:17" x14ac:dyDescent="0.45">
      <c r="A537" s="10">
        <v>46085</v>
      </c>
      <c r="B537" s="1" t="s">
        <v>608</v>
      </c>
      <c r="C537" s="1" t="s">
        <v>54</v>
      </c>
      <c r="D537" s="1" t="s">
        <v>25</v>
      </c>
      <c r="E537" s="1" t="s">
        <v>68</v>
      </c>
      <c r="F537" s="1" t="s">
        <v>51</v>
      </c>
      <c r="G537" s="1" t="s">
        <v>14</v>
      </c>
      <c r="H537" s="1" t="s">
        <v>27</v>
      </c>
      <c r="I537" s="1">
        <v>6</v>
      </c>
      <c r="J537" s="1">
        <v>120</v>
      </c>
      <c r="K537" s="1">
        <v>0.14000000000000001</v>
      </c>
      <c r="L537" s="1">
        <v>720</v>
      </c>
      <c r="M537" s="1">
        <v>619.20000000000005</v>
      </c>
      <c r="N537" s="1">
        <v>738.65</v>
      </c>
      <c r="O537" s="1">
        <v>0.84</v>
      </c>
      <c r="P537" s="2" t="s">
        <v>52</v>
      </c>
      <c r="Q537" s="14" t="s">
        <v>26</v>
      </c>
    </row>
    <row r="538" spans="1:17" x14ac:dyDescent="0.45">
      <c r="A538" s="10">
        <v>46194</v>
      </c>
      <c r="B538" s="1" t="s">
        <v>609</v>
      </c>
      <c r="C538" s="1" t="s">
        <v>54</v>
      </c>
      <c r="D538" s="1" t="s">
        <v>15</v>
      </c>
      <c r="E538" s="1" t="s">
        <v>55</v>
      </c>
      <c r="F538" s="1" t="s">
        <v>56</v>
      </c>
      <c r="G538" s="1" t="s">
        <v>14</v>
      </c>
      <c r="H538" s="1" t="s">
        <v>18</v>
      </c>
      <c r="I538" s="1">
        <v>24</v>
      </c>
      <c r="J538" s="1">
        <v>250</v>
      </c>
      <c r="K538" s="1">
        <v>0.09</v>
      </c>
      <c r="L538" s="1">
        <v>6000</v>
      </c>
      <c r="M538" s="1">
        <v>5460</v>
      </c>
      <c r="N538" s="1">
        <v>5996.08</v>
      </c>
      <c r="O538" s="1">
        <v>0.91</v>
      </c>
      <c r="P538" s="2" t="s">
        <v>52</v>
      </c>
      <c r="Q538" s="13" t="s">
        <v>34</v>
      </c>
    </row>
    <row r="539" spans="1:17" x14ac:dyDescent="0.45">
      <c r="A539" s="10">
        <v>46196</v>
      </c>
      <c r="B539" s="1" t="s">
        <v>610</v>
      </c>
      <c r="C539" s="1" t="s">
        <v>67</v>
      </c>
      <c r="D539" s="1" t="s">
        <v>21</v>
      </c>
      <c r="E539" s="1" t="s">
        <v>50</v>
      </c>
      <c r="F539" s="1" t="s">
        <v>95</v>
      </c>
      <c r="G539" s="1" t="s">
        <v>20</v>
      </c>
      <c r="H539" s="1" t="s">
        <v>33</v>
      </c>
      <c r="I539" s="1">
        <v>184</v>
      </c>
      <c r="J539" s="1">
        <v>35</v>
      </c>
      <c r="K539" s="1">
        <v>0.12</v>
      </c>
      <c r="L539" s="1">
        <v>6440</v>
      </c>
      <c r="M539" s="1">
        <v>5667.2</v>
      </c>
      <c r="N539" s="1">
        <v>5328.31</v>
      </c>
      <c r="O539" s="1">
        <v>1.06</v>
      </c>
      <c r="P539" s="2" t="s">
        <v>73</v>
      </c>
      <c r="Q539" s="14" t="s">
        <v>34</v>
      </c>
    </row>
    <row r="540" spans="1:17" x14ac:dyDescent="0.45">
      <c r="A540" s="10">
        <v>46115</v>
      </c>
      <c r="B540" s="1" t="s">
        <v>611</v>
      </c>
      <c r="C540" s="1" t="s">
        <v>64</v>
      </c>
      <c r="D540" s="1" t="s">
        <v>25</v>
      </c>
      <c r="E540" s="1" t="s">
        <v>104</v>
      </c>
      <c r="F540" s="1" t="s">
        <v>51</v>
      </c>
      <c r="G540" s="1" t="s">
        <v>14</v>
      </c>
      <c r="H540" s="1" t="s">
        <v>27</v>
      </c>
      <c r="I540" s="1">
        <v>60</v>
      </c>
      <c r="J540" s="1">
        <v>120</v>
      </c>
      <c r="K540" s="1">
        <v>0.01</v>
      </c>
      <c r="L540" s="1">
        <v>7200</v>
      </c>
      <c r="M540" s="1">
        <v>7128</v>
      </c>
      <c r="N540" s="1">
        <v>7623.76</v>
      </c>
      <c r="O540" s="1">
        <v>0.93</v>
      </c>
      <c r="P540" s="2" t="s">
        <v>52</v>
      </c>
      <c r="Q540" s="13" t="s">
        <v>29</v>
      </c>
    </row>
    <row r="541" spans="1:17" x14ac:dyDescent="0.45">
      <c r="A541" s="10">
        <v>46151</v>
      </c>
      <c r="B541" s="1" t="s">
        <v>612</v>
      </c>
      <c r="C541" s="1" t="s">
        <v>67</v>
      </c>
      <c r="D541" s="1" t="s">
        <v>21</v>
      </c>
      <c r="E541" s="1" t="s">
        <v>50</v>
      </c>
      <c r="F541" s="1" t="s">
        <v>60</v>
      </c>
      <c r="G541" s="1" t="s">
        <v>20</v>
      </c>
      <c r="H541" s="1" t="s">
        <v>33</v>
      </c>
      <c r="I541" s="1">
        <v>131</v>
      </c>
      <c r="J541" s="1">
        <v>35</v>
      </c>
      <c r="K541" s="1">
        <v>0.12</v>
      </c>
      <c r="L541" s="1">
        <v>4585</v>
      </c>
      <c r="M541" s="1">
        <v>4034.8</v>
      </c>
      <c r="N541" s="1">
        <v>3354.8</v>
      </c>
      <c r="O541" s="1">
        <v>1.2</v>
      </c>
      <c r="P541" s="2" t="s">
        <v>73</v>
      </c>
      <c r="Q541" s="14" t="s">
        <v>32</v>
      </c>
    </row>
    <row r="542" spans="1:17" x14ac:dyDescent="0.45">
      <c r="A542" s="10">
        <v>46030</v>
      </c>
      <c r="B542" s="1" t="s">
        <v>613</v>
      </c>
      <c r="C542" s="1" t="s">
        <v>58</v>
      </c>
      <c r="D542" s="1" t="s">
        <v>21</v>
      </c>
      <c r="E542" s="1" t="s">
        <v>50</v>
      </c>
      <c r="F542" s="1" t="s">
        <v>78</v>
      </c>
      <c r="G542" s="1" t="s">
        <v>20</v>
      </c>
      <c r="H542" s="1" t="s">
        <v>23</v>
      </c>
      <c r="I542" s="1">
        <v>135</v>
      </c>
      <c r="J542" s="1">
        <v>180</v>
      </c>
      <c r="K542" s="1">
        <v>7.0000000000000007E-2</v>
      </c>
      <c r="L542" s="1">
        <v>24300</v>
      </c>
      <c r="M542" s="1">
        <v>22599</v>
      </c>
      <c r="N542" s="1">
        <v>19889.18</v>
      </c>
      <c r="O542" s="1">
        <v>1.1399999999999999</v>
      </c>
      <c r="P542" s="2" t="s">
        <v>73</v>
      </c>
      <c r="Q542" s="13" t="s">
        <v>16</v>
      </c>
    </row>
    <row r="543" spans="1:17" x14ac:dyDescent="0.45">
      <c r="A543" s="10">
        <v>46153</v>
      </c>
      <c r="B543" s="1" t="s">
        <v>614</v>
      </c>
      <c r="C543" s="1" t="s">
        <v>49</v>
      </c>
      <c r="D543" s="1" t="s">
        <v>21</v>
      </c>
      <c r="E543" s="1" t="s">
        <v>50</v>
      </c>
      <c r="F543" s="1" t="s">
        <v>56</v>
      </c>
      <c r="G543" s="1" t="s">
        <v>20</v>
      </c>
      <c r="H543" s="1" t="s">
        <v>23</v>
      </c>
      <c r="I543" s="1">
        <v>34</v>
      </c>
      <c r="J543" s="1">
        <v>180</v>
      </c>
      <c r="K543" s="1">
        <v>0.13</v>
      </c>
      <c r="L543" s="1">
        <v>6120</v>
      </c>
      <c r="M543" s="1">
        <v>5324.4</v>
      </c>
      <c r="N543" s="1">
        <v>5097.29</v>
      </c>
      <c r="O543" s="1">
        <v>1.04</v>
      </c>
      <c r="P543" s="2" t="s">
        <v>73</v>
      </c>
      <c r="Q543" s="14" t="s">
        <v>32</v>
      </c>
    </row>
    <row r="544" spans="1:17" x14ac:dyDescent="0.45">
      <c r="A544" s="10">
        <v>46025</v>
      </c>
      <c r="B544" s="1" t="s">
        <v>615</v>
      </c>
      <c r="C544" s="1" t="s">
        <v>54</v>
      </c>
      <c r="D544" s="1" t="s">
        <v>28</v>
      </c>
      <c r="E544" s="1" t="s">
        <v>65</v>
      </c>
      <c r="F544" s="1" t="s">
        <v>71</v>
      </c>
      <c r="G544" s="1" t="s">
        <v>14</v>
      </c>
      <c r="H544" s="1" t="s">
        <v>18</v>
      </c>
      <c r="I544" s="1">
        <v>28</v>
      </c>
      <c r="J544" s="1">
        <v>250</v>
      </c>
      <c r="K544" s="1">
        <v>0.15</v>
      </c>
      <c r="L544" s="1">
        <v>7000</v>
      </c>
      <c r="M544" s="1">
        <v>5950</v>
      </c>
      <c r="N544" s="1">
        <v>6911.69</v>
      </c>
      <c r="O544" s="1">
        <v>0.86</v>
      </c>
      <c r="P544" s="2" t="s">
        <v>52</v>
      </c>
      <c r="Q544" s="13" t="s">
        <v>16</v>
      </c>
    </row>
    <row r="545" spans="1:17" x14ac:dyDescent="0.45">
      <c r="A545" s="10">
        <v>46172</v>
      </c>
      <c r="B545" s="1" t="s">
        <v>616</v>
      </c>
      <c r="C545" s="1" t="s">
        <v>67</v>
      </c>
      <c r="D545" s="1" t="s">
        <v>28</v>
      </c>
      <c r="E545" s="1" t="s">
        <v>65</v>
      </c>
      <c r="F545" s="1" t="s">
        <v>95</v>
      </c>
      <c r="G545" s="1" t="s">
        <v>24</v>
      </c>
      <c r="H545" s="1" t="s">
        <v>30</v>
      </c>
      <c r="I545" s="1">
        <v>167</v>
      </c>
      <c r="J545" s="1">
        <v>40</v>
      </c>
      <c r="K545" s="1">
        <v>0.13</v>
      </c>
      <c r="L545" s="1">
        <v>6680</v>
      </c>
      <c r="M545" s="1">
        <v>5811.6</v>
      </c>
      <c r="N545" s="1">
        <v>4987.62</v>
      </c>
      <c r="O545" s="1">
        <v>1.17</v>
      </c>
      <c r="P545" s="2" t="s">
        <v>52</v>
      </c>
      <c r="Q545" s="14" t="s">
        <v>32</v>
      </c>
    </row>
    <row r="546" spans="1:17" x14ac:dyDescent="0.45">
      <c r="A546" s="10">
        <v>46125</v>
      </c>
      <c r="B546" s="1" t="s">
        <v>617</v>
      </c>
      <c r="C546" s="1" t="s">
        <v>67</v>
      </c>
      <c r="D546" s="1" t="s">
        <v>21</v>
      </c>
      <c r="E546" s="1" t="s">
        <v>50</v>
      </c>
      <c r="F546" s="1" t="s">
        <v>71</v>
      </c>
      <c r="G546" s="1" t="s">
        <v>24</v>
      </c>
      <c r="H546" s="1" t="s">
        <v>30</v>
      </c>
      <c r="I546" s="1">
        <v>63</v>
      </c>
      <c r="J546" s="1">
        <v>40</v>
      </c>
      <c r="K546" s="1">
        <v>0.12</v>
      </c>
      <c r="L546" s="1">
        <v>2520</v>
      </c>
      <c r="M546" s="1">
        <v>2217.6</v>
      </c>
      <c r="N546" s="1">
        <v>2146.88</v>
      </c>
      <c r="O546" s="1">
        <v>1.03</v>
      </c>
      <c r="P546" s="2" t="s">
        <v>73</v>
      </c>
      <c r="Q546" s="13" t="s">
        <v>29</v>
      </c>
    </row>
    <row r="547" spans="1:17" x14ac:dyDescent="0.45">
      <c r="A547" s="10">
        <v>46168</v>
      </c>
      <c r="B547" s="1" t="s">
        <v>618</v>
      </c>
      <c r="C547" s="1" t="s">
        <v>49</v>
      </c>
      <c r="D547" s="1" t="s">
        <v>15</v>
      </c>
      <c r="E547" s="1" t="s">
        <v>55</v>
      </c>
      <c r="F547" s="1" t="s">
        <v>95</v>
      </c>
      <c r="G547" s="1" t="s">
        <v>14</v>
      </c>
      <c r="H547" s="1" t="s">
        <v>27</v>
      </c>
      <c r="I547" s="1">
        <v>65</v>
      </c>
      <c r="J547" s="1">
        <v>120</v>
      </c>
      <c r="K547" s="1">
        <v>0.06</v>
      </c>
      <c r="L547" s="1">
        <v>7800</v>
      </c>
      <c r="M547" s="1">
        <v>7332</v>
      </c>
      <c r="N547" s="1">
        <v>7755.09</v>
      </c>
      <c r="O547" s="1">
        <v>0.95</v>
      </c>
      <c r="P547" s="2" t="s">
        <v>52</v>
      </c>
      <c r="Q547" s="14" t="s">
        <v>32</v>
      </c>
    </row>
    <row r="548" spans="1:17" x14ac:dyDescent="0.45">
      <c r="A548" s="10">
        <v>46085</v>
      </c>
      <c r="B548" s="1" t="s">
        <v>619</v>
      </c>
      <c r="C548" s="1" t="s">
        <v>75</v>
      </c>
      <c r="D548" s="1" t="s">
        <v>15</v>
      </c>
      <c r="E548" s="1" t="s">
        <v>62</v>
      </c>
      <c r="F548" s="1" t="s">
        <v>60</v>
      </c>
      <c r="G548" s="1" t="s">
        <v>24</v>
      </c>
      <c r="H548" s="1" t="s">
        <v>35</v>
      </c>
      <c r="I548" s="1">
        <v>138</v>
      </c>
      <c r="J548" s="1">
        <v>30</v>
      </c>
      <c r="K548" s="1">
        <v>0.1</v>
      </c>
      <c r="L548" s="1">
        <v>4140</v>
      </c>
      <c r="M548" s="1">
        <v>3726</v>
      </c>
      <c r="N548" s="1">
        <v>3644.28</v>
      </c>
      <c r="O548" s="1">
        <v>1.02</v>
      </c>
      <c r="P548" s="2" t="s">
        <v>73</v>
      </c>
      <c r="Q548" s="13" t="s">
        <v>26</v>
      </c>
    </row>
    <row r="549" spans="1:17" x14ac:dyDescent="0.45">
      <c r="A549" s="10">
        <v>46152</v>
      </c>
      <c r="B549" s="1" t="s">
        <v>620</v>
      </c>
      <c r="C549" s="1" t="s">
        <v>49</v>
      </c>
      <c r="D549" s="1" t="s">
        <v>28</v>
      </c>
      <c r="E549" s="1" t="s">
        <v>65</v>
      </c>
      <c r="F549" s="1" t="s">
        <v>78</v>
      </c>
      <c r="G549" s="1" t="s">
        <v>14</v>
      </c>
      <c r="H549" s="1" t="s">
        <v>27</v>
      </c>
      <c r="I549" s="1">
        <v>44</v>
      </c>
      <c r="J549" s="1">
        <v>120</v>
      </c>
      <c r="K549" s="1">
        <v>7.0000000000000007E-2</v>
      </c>
      <c r="L549" s="1">
        <v>5280</v>
      </c>
      <c r="M549" s="1">
        <v>4910.3999999999996</v>
      </c>
      <c r="N549" s="1">
        <v>4135.22</v>
      </c>
      <c r="O549" s="1">
        <v>1.19</v>
      </c>
      <c r="P549" s="2" t="s">
        <v>73</v>
      </c>
      <c r="Q549" s="14" t="s">
        <v>32</v>
      </c>
    </row>
    <row r="550" spans="1:17" x14ac:dyDescent="0.45">
      <c r="A550" s="10">
        <v>46060</v>
      </c>
      <c r="B550" s="1" t="s">
        <v>621</v>
      </c>
      <c r="C550" s="1" t="s">
        <v>54</v>
      </c>
      <c r="D550" s="1" t="s">
        <v>28</v>
      </c>
      <c r="E550" s="1" t="s">
        <v>70</v>
      </c>
      <c r="F550" s="1" t="s">
        <v>60</v>
      </c>
      <c r="G550" s="1" t="s">
        <v>24</v>
      </c>
      <c r="H550" s="1" t="s">
        <v>35</v>
      </c>
      <c r="I550" s="1">
        <v>39</v>
      </c>
      <c r="J550" s="1">
        <v>30</v>
      </c>
      <c r="K550" s="1">
        <v>0.02</v>
      </c>
      <c r="L550" s="1">
        <v>1170</v>
      </c>
      <c r="M550" s="1">
        <v>1146.5999999999999</v>
      </c>
      <c r="N550" s="1">
        <v>1305.8399999999999</v>
      </c>
      <c r="O550" s="1">
        <v>0.88</v>
      </c>
      <c r="P550" s="2" t="s">
        <v>73</v>
      </c>
      <c r="Q550" s="13" t="s">
        <v>22</v>
      </c>
    </row>
    <row r="551" spans="1:17" x14ac:dyDescent="0.45">
      <c r="A551" s="10">
        <v>46194</v>
      </c>
      <c r="B551" s="1" t="s">
        <v>622</v>
      </c>
      <c r="C551" s="1" t="s">
        <v>75</v>
      </c>
      <c r="D551" s="1" t="s">
        <v>25</v>
      </c>
      <c r="E551" s="1" t="s">
        <v>68</v>
      </c>
      <c r="F551" s="1" t="s">
        <v>71</v>
      </c>
      <c r="G551" s="1" t="s">
        <v>20</v>
      </c>
      <c r="H551" s="1" t="s">
        <v>33</v>
      </c>
      <c r="I551" s="1">
        <v>67</v>
      </c>
      <c r="J551" s="1">
        <v>35</v>
      </c>
      <c r="K551" s="1">
        <v>0.08</v>
      </c>
      <c r="L551" s="1">
        <v>2345</v>
      </c>
      <c r="M551" s="1">
        <v>2157.4</v>
      </c>
      <c r="N551" s="1">
        <v>1987.92</v>
      </c>
      <c r="O551" s="1">
        <v>1.0900000000000001</v>
      </c>
      <c r="P551" s="2" t="s">
        <v>73</v>
      </c>
      <c r="Q551" s="14" t="s">
        <v>34</v>
      </c>
    </row>
    <row r="552" spans="1:17" x14ac:dyDescent="0.45">
      <c r="A552" s="10">
        <v>46147</v>
      </c>
      <c r="B552" s="1" t="s">
        <v>623</v>
      </c>
      <c r="C552" s="1" t="s">
        <v>49</v>
      </c>
      <c r="D552" s="1" t="s">
        <v>28</v>
      </c>
      <c r="E552" s="1" t="s">
        <v>59</v>
      </c>
      <c r="F552" s="1" t="s">
        <v>56</v>
      </c>
      <c r="G552" s="1" t="s">
        <v>14</v>
      </c>
      <c r="H552" s="1" t="s">
        <v>27</v>
      </c>
      <c r="I552" s="1">
        <v>102</v>
      </c>
      <c r="J552" s="1">
        <v>120</v>
      </c>
      <c r="K552" s="1">
        <v>0.04</v>
      </c>
      <c r="L552" s="1">
        <v>12240</v>
      </c>
      <c r="M552" s="1">
        <v>11750.4</v>
      </c>
      <c r="N552" s="1">
        <v>13327.31</v>
      </c>
      <c r="O552" s="1">
        <v>0.88</v>
      </c>
      <c r="P552" s="2" t="s">
        <v>73</v>
      </c>
      <c r="Q552" s="13" t="s">
        <v>32</v>
      </c>
    </row>
    <row r="553" spans="1:17" x14ac:dyDescent="0.45">
      <c r="A553" s="10">
        <v>46157</v>
      </c>
      <c r="B553" s="1" t="s">
        <v>624</v>
      </c>
      <c r="C553" s="1" t="s">
        <v>49</v>
      </c>
      <c r="D553" s="1" t="s">
        <v>15</v>
      </c>
      <c r="E553" s="1" t="s">
        <v>62</v>
      </c>
      <c r="F553" s="1" t="s">
        <v>71</v>
      </c>
      <c r="G553" s="1" t="s">
        <v>24</v>
      </c>
      <c r="H553" s="1" t="s">
        <v>35</v>
      </c>
      <c r="I553" s="1">
        <v>127</v>
      </c>
      <c r="J553" s="1">
        <v>30</v>
      </c>
      <c r="K553" s="1">
        <v>0.11</v>
      </c>
      <c r="L553" s="1">
        <v>3810</v>
      </c>
      <c r="M553" s="1">
        <v>3390.9</v>
      </c>
      <c r="N553" s="1">
        <v>3211.63</v>
      </c>
      <c r="O553" s="1">
        <v>1.06</v>
      </c>
      <c r="P553" s="2" t="s">
        <v>52</v>
      </c>
      <c r="Q553" s="14" t="s">
        <v>32</v>
      </c>
    </row>
    <row r="554" spans="1:17" x14ac:dyDescent="0.45">
      <c r="A554" s="10">
        <v>46136</v>
      </c>
      <c r="B554" s="1" t="s">
        <v>625</v>
      </c>
      <c r="C554" s="1" t="s">
        <v>64</v>
      </c>
      <c r="D554" s="1" t="s">
        <v>25</v>
      </c>
      <c r="E554" s="1" t="s">
        <v>68</v>
      </c>
      <c r="F554" s="1" t="s">
        <v>56</v>
      </c>
      <c r="G554" s="1" t="s">
        <v>14</v>
      </c>
      <c r="H554" s="1" t="s">
        <v>27</v>
      </c>
      <c r="I554" s="1">
        <v>71</v>
      </c>
      <c r="J554" s="1">
        <v>120</v>
      </c>
      <c r="K554" s="1">
        <v>0.03</v>
      </c>
      <c r="L554" s="1">
        <v>8520</v>
      </c>
      <c r="M554" s="1">
        <v>8264.4</v>
      </c>
      <c r="N554" s="1">
        <v>7247.51</v>
      </c>
      <c r="O554" s="1">
        <v>1.1399999999999999</v>
      </c>
      <c r="P554" s="2" t="s">
        <v>52</v>
      </c>
      <c r="Q554" s="13" t="s">
        <v>29</v>
      </c>
    </row>
    <row r="555" spans="1:17" x14ac:dyDescent="0.45">
      <c r="A555" s="10">
        <v>46129</v>
      </c>
      <c r="B555" s="1" t="s">
        <v>626</v>
      </c>
      <c r="C555" s="1" t="s">
        <v>49</v>
      </c>
      <c r="D555" s="1" t="s">
        <v>15</v>
      </c>
      <c r="E555" s="1" t="s">
        <v>55</v>
      </c>
      <c r="F555" s="1" t="s">
        <v>51</v>
      </c>
      <c r="G555" s="1" t="s">
        <v>14</v>
      </c>
      <c r="H555" s="1" t="s">
        <v>18</v>
      </c>
      <c r="I555" s="1">
        <v>70</v>
      </c>
      <c r="J555" s="1">
        <v>250</v>
      </c>
      <c r="K555" s="1">
        <v>0</v>
      </c>
      <c r="L555" s="1">
        <v>17500</v>
      </c>
      <c r="M555" s="1">
        <v>17500</v>
      </c>
      <c r="N555" s="1">
        <v>14638.31</v>
      </c>
      <c r="O555" s="1">
        <v>1.2</v>
      </c>
      <c r="P555" s="2" t="s">
        <v>52</v>
      </c>
      <c r="Q555" s="14" t="s">
        <v>29</v>
      </c>
    </row>
    <row r="556" spans="1:17" x14ac:dyDescent="0.45">
      <c r="A556" s="10">
        <v>46082</v>
      </c>
      <c r="B556" s="1" t="s">
        <v>627</v>
      </c>
      <c r="C556" s="1" t="s">
        <v>49</v>
      </c>
      <c r="D556" s="1" t="s">
        <v>28</v>
      </c>
      <c r="E556" s="1" t="s">
        <v>82</v>
      </c>
      <c r="F556" s="1" t="s">
        <v>51</v>
      </c>
      <c r="G556" s="1" t="s">
        <v>24</v>
      </c>
      <c r="H556" s="1" t="s">
        <v>30</v>
      </c>
      <c r="I556" s="1">
        <v>180</v>
      </c>
      <c r="J556" s="1">
        <v>40</v>
      </c>
      <c r="K556" s="1">
        <v>0.01</v>
      </c>
      <c r="L556" s="1">
        <v>7200</v>
      </c>
      <c r="M556" s="1">
        <v>7128</v>
      </c>
      <c r="N556" s="1">
        <v>8517.14</v>
      </c>
      <c r="O556" s="1">
        <v>0.84</v>
      </c>
      <c r="P556" s="2" t="s">
        <v>73</v>
      </c>
      <c r="Q556" s="13" t="s">
        <v>26</v>
      </c>
    </row>
    <row r="557" spans="1:17" x14ac:dyDescent="0.45">
      <c r="A557" s="10">
        <v>46138</v>
      </c>
      <c r="B557" s="1" t="s">
        <v>628</v>
      </c>
      <c r="C557" s="1" t="s">
        <v>58</v>
      </c>
      <c r="D557" s="1" t="s">
        <v>21</v>
      </c>
      <c r="E557" s="1" t="s">
        <v>50</v>
      </c>
      <c r="F557" s="1" t="s">
        <v>56</v>
      </c>
      <c r="G557" s="1" t="s">
        <v>14</v>
      </c>
      <c r="H557" s="1" t="s">
        <v>27</v>
      </c>
      <c r="I557" s="1">
        <v>128</v>
      </c>
      <c r="J557" s="1">
        <v>120</v>
      </c>
      <c r="K557" s="1">
        <v>0.08</v>
      </c>
      <c r="L557" s="1">
        <v>15360</v>
      </c>
      <c r="M557" s="1">
        <v>14131.2</v>
      </c>
      <c r="N557" s="1">
        <v>11871.35</v>
      </c>
      <c r="O557" s="1">
        <v>1.19</v>
      </c>
      <c r="P557" s="2" t="s">
        <v>73</v>
      </c>
      <c r="Q557" s="14" t="s">
        <v>29</v>
      </c>
    </row>
    <row r="558" spans="1:17" x14ac:dyDescent="0.45">
      <c r="A558" s="10">
        <v>46059</v>
      </c>
      <c r="B558" s="1" t="s">
        <v>629</v>
      </c>
      <c r="C558" s="1" t="s">
        <v>54</v>
      </c>
      <c r="D558" s="1" t="s">
        <v>25</v>
      </c>
      <c r="E558" s="1" t="s">
        <v>68</v>
      </c>
      <c r="F558" s="1" t="s">
        <v>78</v>
      </c>
      <c r="G558" s="1" t="s">
        <v>20</v>
      </c>
      <c r="H558" s="1" t="s">
        <v>33</v>
      </c>
      <c r="I558" s="1">
        <v>190</v>
      </c>
      <c r="J558" s="1">
        <v>35</v>
      </c>
      <c r="K558" s="1">
        <v>0.08</v>
      </c>
      <c r="L558" s="1">
        <v>6650</v>
      </c>
      <c r="M558" s="1">
        <v>6118</v>
      </c>
      <c r="N558" s="1">
        <v>6715.31</v>
      </c>
      <c r="O558" s="1">
        <v>0.91</v>
      </c>
      <c r="P558" s="2" t="s">
        <v>73</v>
      </c>
      <c r="Q558" s="13" t="s">
        <v>22</v>
      </c>
    </row>
    <row r="559" spans="1:17" x14ac:dyDescent="0.45">
      <c r="A559" s="10">
        <v>46203</v>
      </c>
      <c r="B559" s="1" t="s">
        <v>630</v>
      </c>
      <c r="C559" s="1" t="s">
        <v>49</v>
      </c>
      <c r="D559" s="1" t="s">
        <v>15</v>
      </c>
      <c r="E559" s="1" t="s">
        <v>62</v>
      </c>
      <c r="F559" s="1" t="s">
        <v>78</v>
      </c>
      <c r="G559" s="1" t="s">
        <v>20</v>
      </c>
      <c r="H559" s="1" t="s">
        <v>33</v>
      </c>
      <c r="I559" s="1">
        <v>14</v>
      </c>
      <c r="J559" s="1">
        <v>35</v>
      </c>
      <c r="K559" s="1">
        <v>0.04</v>
      </c>
      <c r="L559" s="1">
        <v>490</v>
      </c>
      <c r="M559" s="1">
        <v>470.4</v>
      </c>
      <c r="N559" s="1">
        <v>425.44</v>
      </c>
      <c r="O559" s="1">
        <v>1.1100000000000001</v>
      </c>
      <c r="P559" s="2" t="s">
        <v>73</v>
      </c>
      <c r="Q559" s="14" t="s">
        <v>34</v>
      </c>
    </row>
    <row r="560" spans="1:17" x14ac:dyDescent="0.45">
      <c r="A560" s="10">
        <v>46193</v>
      </c>
      <c r="B560" s="1" t="s">
        <v>631</v>
      </c>
      <c r="C560" s="1" t="s">
        <v>75</v>
      </c>
      <c r="D560" s="1" t="s">
        <v>21</v>
      </c>
      <c r="E560" s="1" t="s">
        <v>80</v>
      </c>
      <c r="F560" s="1" t="s">
        <v>95</v>
      </c>
      <c r="G560" s="1" t="s">
        <v>24</v>
      </c>
      <c r="H560" s="1" t="s">
        <v>30</v>
      </c>
      <c r="I560" s="1">
        <v>73</v>
      </c>
      <c r="J560" s="1">
        <v>40</v>
      </c>
      <c r="K560" s="1">
        <v>0.04</v>
      </c>
      <c r="L560" s="1">
        <v>2920</v>
      </c>
      <c r="M560" s="1">
        <v>2803.2</v>
      </c>
      <c r="N560" s="1">
        <v>2551.67</v>
      </c>
      <c r="O560" s="1">
        <v>1.1000000000000001</v>
      </c>
      <c r="P560" s="2" t="s">
        <v>52</v>
      </c>
      <c r="Q560" s="13" t="s">
        <v>34</v>
      </c>
    </row>
    <row r="561" spans="1:17" x14ac:dyDescent="0.45">
      <c r="A561" s="10">
        <v>46124</v>
      </c>
      <c r="B561" s="1" t="s">
        <v>632</v>
      </c>
      <c r="C561" s="1" t="s">
        <v>54</v>
      </c>
      <c r="D561" s="1" t="s">
        <v>21</v>
      </c>
      <c r="E561" s="1" t="s">
        <v>50</v>
      </c>
      <c r="F561" s="1" t="s">
        <v>95</v>
      </c>
      <c r="G561" s="1" t="s">
        <v>24</v>
      </c>
      <c r="H561" s="1" t="s">
        <v>35</v>
      </c>
      <c r="I561" s="1">
        <v>52</v>
      </c>
      <c r="J561" s="1">
        <v>30</v>
      </c>
      <c r="K561" s="1">
        <v>0.01</v>
      </c>
      <c r="L561" s="1">
        <v>1560</v>
      </c>
      <c r="M561" s="1">
        <v>1544.4</v>
      </c>
      <c r="N561" s="1">
        <v>1836.42</v>
      </c>
      <c r="O561" s="1">
        <v>0.84</v>
      </c>
      <c r="P561" s="2" t="s">
        <v>52</v>
      </c>
      <c r="Q561" s="14" t="s">
        <v>29</v>
      </c>
    </row>
    <row r="562" spans="1:17" x14ac:dyDescent="0.45">
      <c r="A562" s="10">
        <v>46086</v>
      </c>
      <c r="B562" s="1" t="s">
        <v>633</v>
      </c>
      <c r="C562" s="1" t="s">
        <v>58</v>
      </c>
      <c r="D562" s="1" t="s">
        <v>25</v>
      </c>
      <c r="E562" s="1" t="s">
        <v>98</v>
      </c>
      <c r="F562" s="1" t="s">
        <v>56</v>
      </c>
      <c r="G562" s="1" t="s">
        <v>20</v>
      </c>
      <c r="H562" s="1" t="s">
        <v>33</v>
      </c>
      <c r="I562" s="1">
        <v>200</v>
      </c>
      <c r="J562" s="1">
        <v>35</v>
      </c>
      <c r="K562" s="1">
        <v>0.12</v>
      </c>
      <c r="L562" s="1">
        <v>7000</v>
      </c>
      <c r="M562" s="1">
        <v>6160</v>
      </c>
      <c r="N562" s="1">
        <v>4990.08</v>
      </c>
      <c r="O562" s="1">
        <v>1.23</v>
      </c>
      <c r="P562" s="2" t="s">
        <v>73</v>
      </c>
      <c r="Q562" s="13" t="s">
        <v>26</v>
      </c>
    </row>
    <row r="563" spans="1:17" x14ac:dyDescent="0.45">
      <c r="A563" s="10">
        <v>46194</v>
      </c>
      <c r="B563" s="1" t="s">
        <v>634</v>
      </c>
      <c r="C563" s="1" t="s">
        <v>49</v>
      </c>
      <c r="D563" s="1" t="s">
        <v>25</v>
      </c>
      <c r="E563" s="1" t="s">
        <v>98</v>
      </c>
      <c r="F563" s="1" t="s">
        <v>71</v>
      </c>
      <c r="G563" s="1" t="s">
        <v>20</v>
      </c>
      <c r="H563" s="1" t="s">
        <v>23</v>
      </c>
      <c r="I563" s="1">
        <v>102</v>
      </c>
      <c r="J563" s="1">
        <v>180</v>
      </c>
      <c r="K563" s="1">
        <v>0.1</v>
      </c>
      <c r="L563" s="1">
        <v>18360</v>
      </c>
      <c r="M563" s="1">
        <v>16524</v>
      </c>
      <c r="N563" s="1">
        <v>19425.82</v>
      </c>
      <c r="O563" s="1">
        <v>0.85</v>
      </c>
      <c r="P563" s="2" t="s">
        <v>73</v>
      </c>
      <c r="Q563" s="14" t="s">
        <v>34</v>
      </c>
    </row>
    <row r="564" spans="1:17" x14ac:dyDescent="0.45">
      <c r="A564" s="10">
        <v>46061</v>
      </c>
      <c r="B564" s="1" t="s">
        <v>635</v>
      </c>
      <c r="C564" s="1" t="s">
        <v>67</v>
      </c>
      <c r="D564" s="1" t="s">
        <v>15</v>
      </c>
      <c r="E564" s="1" t="s">
        <v>55</v>
      </c>
      <c r="F564" s="1" t="s">
        <v>78</v>
      </c>
      <c r="G564" s="1" t="s">
        <v>20</v>
      </c>
      <c r="H564" s="1" t="s">
        <v>33</v>
      </c>
      <c r="I564" s="1">
        <v>19</v>
      </c>
      <c r="J564" s="1">
        <v>35</v>
      </c>
      <c r="K564" s="1">
        <v>0</v>
      </c>
      <c r="L564" s="1">
        <v>665</v>
      </c>
      <c r="M564" s="1">
        <v>665</v>
      </c>
      <c r="N564" s="1">
        <v>759.02</v>
      </c>
      <c r="O564" s="1">
        <v>0.88</v>
      </c>
      <c r="P564" s="2" t="s">
        <v>73</v>
      </c>
      <c r="Q564" s="13" t="s">
        <v>22</v>
      </c>
    </row>
    <row r="565" spans="1:17" x14ac:dyDescent="0.45">
      <c r="A565" s="10">
        <v>46077</v>
      </c>
      <c r="B565" s="1" t="s">
        <v>636</v>
      </c>
      <c r="C565" s="1" t="s">
        <v>54</v>
      </c>
      <c r="D565" s="1" t="s">
        <v>25</v>
      </c>
      <c r="E565" s="1" t="s">
        <v>98</v>
      </c>
      <c r="F565" s="1" t="s">
        <v>56</v>
      </c>
      <c r="G565" s="1" t="s">
        <v>14</v>
      </c>
      <c r="H565" s="1" t="s">
        <v>27</v>
      </c>
      <c r="I565" s="1">
        <v>94</v>
      </c>
      <c r="J565" s="1">
        <v>120</v>
      </c>
      <c r="K565" s="1">
        <v>0.03</v>
      </c>
      <c r="L565" s="1">
        <v>11280</v>
      </c>
      <c r="M565" s="1">
        <v>10941.6</v>
      </c>
      <c r="N565" s="1">
        <v>10921.67</v>
      </c>
      <c r="O565" s="1">
        <v>1</v>
      </c>
      <c r="P565" s="2" t="s">
        <v>52</v>
      </c>
      <c r="Q565" s="14" t="s">
        <v>22</v>
      </c>
    </row>
    <row r="566" spans="1:17" x14ac:dyDescent="0.45">
      <c r="A566" s="10">
        <v>46182</v>
      </c>
      <c r="B566" s="1" t="s">
        <v>637</v>
      </c>
      <c r="C566" s="1" t="s">
        <v>75</v>
      </c>
      <c r="D566" s="1" t="s">
        <v>28</v>
      </c>
      <c r="E566" s="1" t="s">
        <v>59</v>
      </c>
      <c r="F566" s="1" t="s">
        <v>71</v>
      </c>
      <c r="G566" s="1" t="s">
        <v>14</v>
      </c>
      <c r="H566" s="1" t="s">
        <v>27</v>
      </c>
      <c r="I566" s="1">
        <v>139</v>
      </c>
      <c r="J566" s="1">
        <v>120</v>
      </c>
      <c r="K566" s="1">
        <v>0.14000000000000001</v>
      </c>
      <c r="L566" s="1">
        <v>16680</v>
      </c>
      <c r="M566" s="1">
        <v>14344.8</v>
      </c>
      <c r="N566" s="1">
        <v>12239.85</v>
      </c>
      <c r="O566" s="1">
        <v>1.17</v>
      </c>
      <c r="P566" s="2" t="s">
        <v>73</v>
      </c>
      <c r="Q566" s="13" t="s">
        <v>34</v>
      </c>
    </row>
    <row r="567" spans="1:17" x14ac:dyDescent="0.45">
      <c r="A567" s="10">
        <v>46107</v>
      </c>
      <c r="B567" s="1" t="s">
        <v>638</v>
      </c>
      <c r="C567" s="1" t="s">
        <v>64</v>
      </c>
      <c r="D567" s="1" t="s">
        <v>28</v>
      </c>
      <c r="E567" s="1" t="s">
        <v>59</v>
      </c>
      <c r="F567" s="1" t="s">
        <v>95</v>
      </c>
      <c r="G567" s="1" t="s">
        <v>24</v>
      </c>
      <c r="H567" s="1" t="s">
        <v>35</v>
      </c>
      <c r="I567" s="1">
        <v>51</v>
      </c>
      <c r="J567" s="1">
        <v>30</v>
      </c>
      <c r="K567" s="1">
        <v>0.14000000000000001</v>
      </c>
      <c r="L567" s="1">
        <v>1530</v>
      </c>
      <c r="M567" s="1">
        <v>1315.8</v>
      </c>
      <c r="N567" s="1">
        <v>1522.81</v>
      </c>
      <c r="O567" s="1">
        <v>0.86</v>
      </c>
      <c r="P567" s="2" t="s">
        <v>73</v>
      </c>
      <c r="Q567" s="14" t="s">
        <v>26</v>
      </c>
    </row>
    <row r="568" spans="1:17" x14ac:dyDescent="0.45">
      <c r="A568" s="10">
        <v>46140</v>
      </c>
      <c r="B568" s="1" t="s">
        <v>639</v>
      </c>
      <c r="C568" s="1" t="s">
        <v>49</v>
      </c>
      <c r="D568" s="1" t="s">
        <v>28</v>
      </c>
      <c r="E568" s="1" t="s">
        <v>82</v>
      </c>
      <c r="F568" s="1" t="s">
        <v>56</v>
      </c>
      <c r="G568" s="1" t="s">
        <v>24</v>
      </c>
      <c r="H568" s="1" t="s">
        <v>30</v>
      </c>
      <c r="I568" s="1">
        <v>50</v>
      </c>
      <c r="J568" s="1">
        <v>40</v>
      </c>
      <c r="K568" s="1">
        <v>0.06</v>
      </c>
      <c r="L568" s="1">
        <v>2000</v>
      </c>
      <c r="M568" s="1">
        <v>1880</v>
      </c>
      <c r="N568" s="1">
        <v>1614.09</v>
      </c>
      <c r="O568" s="1">
        <v>1.1599999999999999</v>
      </c>
      <c r="P568" s="2" t="s">
        <v>52</v>
      </c>
      <c r="Q568" s="13" t="s">
        <v>29</v>
      </c>
    </row>
    <row r="569" spans="1:17" x14ac:dyDescent="0.45">
      <c r="A569" s="10">
        <v>46132</v>
      </c>
      <c r="B569" s="1" t="s">
        <v>640</v>
      </c>
      <c r="C569" s="1" t="s">
        <v>64</v>
      </c>
      <c r="D569" s="1" t="s">
        <v>15</v>
      </c>
      <c r="E569" s="1" t="s">
        <v>62</v>
      </c>
      <c r="F569" s="1" t="s">
        <v>56</v>
      </c>
      <c r="G569" s="1" t="s">
        <v>20</v>
      </c>
      <c r="H569" s="1" t="s">
        <v>33</v>
      </c>
      <c r="I569" s="1">
        <v>137</v>
      </c>
      <c r="J569" s="1">
        <v>35</v>
      </c>
      <c r="K569" s="1">
        <v>0.01</v>
      </c>
      <c r="L569" s="1">
        <v>4795</v>
      </c>
      <c r="M569" s="1">
        <v>4747.05</v>
      </c>
      <c r="N569" s="1">
        <v>4592.3</v>
      </c>
      <c r="O569" s="1">
        <v>1.03</v>
      </c>
      <c r="P569" s="2" t="s">
        <v>52</v>
      </c>
      <c r="Q569" s="14" t="s">
        <v>29</v>
      </c>
    </row>
    <row r="570" spans="1:17" x14ac:dyDescent="0.45">
      <c r="A570" s="10">
        <v>46118</v>
      </c>
      <c r="B570" s="1" t="s">
        <v>641</v>
      </c>
      <c r="C570" s="1" t="s">
        <v>58</v>
      </c>
      <c r="D570" s="1" t="s">
        <v>25</v>
      </c>
      <c r="E570" s="1" t="s">
        <v>68</v>
      </c>
      <c r="F570" s="1" t="s">
        <v>78</v>
      </c>
      <c r="G570" s="1" t="s">
        <v>24</v>
      </c>
      <c r="H570" s="1" t="s">
        <v>35</v>
      </c>
      <c r="I570" s="1">
        <v>133</v>
      </c>
      <c r="J570" s="1">
        <v>30</v>
      </c>
      <c r="K570" s="1">
        <v>0.05</v>
      </c>
      <c r="L570" s="1">
        <v>3990</v>
      </c>
      <c r="M570" s="1">
        <v>3790.5</v>
      </c>
      <c r="N570" s="1">
        <v>3961.37</v>
      </c>
      <c r="O570" s="1">
        <v>0.96</v>
      </c>
      <c r="P570" s="2" t="s">
        <v>73</v>
      </c>
      <c r="Q570" s="13" t="s">
        <v>29</v>
      </c>
    </row>
    <row r="571" spans="1:17" x14ac:dyDescent="0.45">
      <c r="A571" s="10">
        <v>46058</v>
      </c>
      <c r="B571" s="1" t="s">
        <v>642</v>
      </c>
      <c r="C571" s="1" t="s">
        <v>67</v>
      </c>
      <c r="D571" s="1" t="s">
        <v>25</v>
      </c>
      <c r="E571" s="1" t="s">
        <v>104</v>
      </c>
      <c r="F571" s="1" t="s">
        <v>56</v>
      </c>
      <c r="G571" s="1" t="s">
        <v>24</v>
      </c>
      <c r="H571" s="1" t="s">
        <v>35</v>
      </c>
      <c r="I571" s="1">
        <v>74</v>
      </c>
      <c r="J571" s="1">
        <v>30</v>
      </c>
      <c r="K571" s="1">
        <v>0.03</v>
      </c>
      <c r="L571" s="1">
        <v>2220</v>
      </c>
      <c r="M571" s="1">
        <v>2153.4</v>
      </c>
      <c r="N571" s="1">
        <v>2178.83</v>
      </c>
      <c r="O571" s="1">
        <v>0.99</v>
      </c>
      <c r="P571" s="2" t="s">
        <v>52</v>
      </c>
      <c r="Q571" s="14" t="s">
        <v>22</v>
      </c>
    </row>
    <row r="572" spans="1:17" x14ac:dyDescent="0.45">
      <c r="A572" s="10">
        <v>46062</v>
      </c>
      <c r="B572" s="1" t="s">
        <v>643</v>
      </c>
      <c r="C572" s="1" t="s">
        <v>64</v>
      </c>
      <c r="D572" s="1" t="s">
        <v>21</v>
      </c>
      <c r="E572" s="1" t="s">
        <v>50</v>
      </c>
      <c r="F572" s="1" t="s">
        <v>56</v>
      </c>
      <c r="G572" s="1" t="s">
        <v>20</v>
      </c>
      <c r="H572" s="1" t="s">
        <v>33</v>
      </c>
      <c r="I572" s="1">
        <v>108</v>
      </c>
      <c r="J572" s="1">
        <v>35</v>
      </c>
      <c r="K572" s="1">
        <v>0.09</v>
      </c>
      <c r="L572" s="1">
        <v>3780</v>
      </c>
      <c r="M572" s="1">
        <v>3439.8</v>
      </c>
      <c r="N572" s="1">
        <v>3878.58</v>
      </c>
      <c r="O572" s="1">
        <v>0.89</v>
      </c>
      <c r="P572" s="2" t="s">
        <v>73</v>
      </c>
      <c r="Q572" s="13" t="s">
        <v>22</v>
      </c>
    </row>
    <row r="573" spans="1:17" x14ac:dyDescent="0.45">
      <c r="A573" s="10">
        <v>46077</v>
      </c>
      <c r="B573" s="1" t="s">
        <v>644</v>
      </c>
      <c r="C573" s="1" t="s">
        <v>49</v>
      </c>
      <c r="D573" s="1" t="s">
        <v>25</v>
      </c>
      <c r="E573" s="1" t="s">
        <v>104</v>
      </c>
      <c r="F573" s="1" t="s">
        <v>56</v>
      </c>
      <c r="G573" s="1" t="s">
        <v>24</v>
      </c>
      <c r="H573" s="1" t="s">
        <v>30</v>
      </c>
      <c r="I573" s="1">
        <v>102</v>
      </c>
      <c r="J573" s="1">
        <v>40</v>
      </c>
      <c r="K573" s="1">
        <v>0.01</v>
      </c>
      <c r="L573" s="1">
        <v>4080</v>
      </c>
      <c r="M573" s="1">
        <v>4039.2</v>
      </c>
      <c r="N573" s="1">
        <v>4727.54</v>
      </c>
      <c r="O573" s="1">
        <v>0.85</v>
      </c>
      <c r="P573" s="2" t="s">
        <v>52</v>
      </c>
      <c r="Q573" s="14" t="s">
        <v>22</v>
      </c>
    </row>
    <row r="574" spans="1:17" x14ac:dyDescent="0.45">
      <c r="A574" s="10">
        <v>46122</v>
      </c>
      <c r="B574" s="1" t="s">
        <v>645</v>
      </c>
      <c r="C574" s="1" t="s">
        <v>49</v>
      </c>
      <c r="D574" s="1" t="s">
        <v>21</v>
      </c>
      <c r="E574" s="1" t="s">
        <v>50</v>
      </c>
      <c r="F574" s="1" t="s">
        <v>71</v>
      </c>
      <c r="G574" s="1" t="s">
        <v>14</v>
      </c>
      <c r="H574" s="1" t="s">
        <v>27</v>
      </c>
      <c r="I574" s="1">
        <v>175</v>
      </c>
      <c r="J574" s="1">
        <v>120</v>
      </c>
      <c r="K574" s="1">
        <v>0.01</v>
      </c>
      <c r="L574" s="1">
        <v>21000</v>
      </c>
      <c r="M574" s="1">
        <v>20790</v>
      </c>
      <c r="N574" s="1">
        <v>20345.919999999998</v>
      </c>
      <c r="O574" s="1">
        <v>1.02</v>
      </c>
      <c r="P574" s="2" t="s">
        <v>73</v>
      </c>
      <c r="Q574" s="13" t="s">
        <v>29</v>
      </c>
    </row>
    <row r="575" spans="1:17" x14ac:dyDescent="0.45">
      <c r="A575" s="10">
        <v>46199</v>
      </c>
      <c r="B575" s="1" t="s">
        <v>646</v>
      </c>
      <c r="C575" s="1" t="s">
        <v>64</v>
      </c>
      <c r="D575" s="1" t="s">
        <v>21</v>
      </c>
      <c r="E575" s="1" t="s">
        <v>80</v>
      </c>
      <c r="F575" s="1" t="s">
        <v>78</v>
      </c>
      <c r="G575" s="1" t="s">
        <v>20</v>
      </c>
      <c r="H575" s="1" t="s">
        <v>33</v>
      </c>
      <c r="I575" s="1">
        <v>157</v>
      </c>
      <c r="J575" s="1">
        <v>35</v>
      </c>
      <c r="K575" s="1">
        <v>0.02</v>
      </c>
      <c r="L575" s="1">
        <v>5495</v>
      </c>
      <c r="M575" s="1">
        <v>5385.1</v>
      </c>
      <c r="N575" s="1">
        <v>6322.27</v>
      </c>
      <c r="O575" s="1">
        <v>0.85</v>
      </c>
      <c r="P575" s="2" t="s">
        <v>73</v>
      </c>
      <c r="Q575" s="14" t="s">
        <v>34</v>
      </c>
    </row>
    <row r="576" spans="1:17" x14ac:dyDescent="0.45">
      <c r="A576" s="10">
        <v>46169</v>
      </c>
      <c r="B576" s="1" t="s">
        <v>647</v>
      </c>
      <c r="C576" s="1" t="s">
        <v>49</v>
      </c>
      <c r="D576" s="1" t="s">
        <v>28</v>
      </c>
      <c r="E576" s="1" t="s">
        <v>65</v>
      </c>
      <c r="F576" s="1" t="s">
        <v>78</v>
      </c>
      <c r="G576" s="1" t="s">
        <v>14</v>
      </c>
      <c r="H576" s="1" t="s">
        <v>18</v>
      </c>
      <c r="I576" s="1">
        <v>55</v>
      </c>
      <c r="J576" s="1">
        <v>250</v>
      </c>
      <c r="K576" s="1">
        <v>0.11</v>
      </c>
      <c r="L576" s="1">
        <v>13750</v>
      </c>
      <c r="M576" s="1">
        <v>12237.5</v>
      </c>
      <c r="N576" s="1">
        <v>11518.67</v>
      </c>
      <c r="O576" s="1">
        <v>1.06</v>
      </c>
      <c r="P576" s="2" t="s">
        <v>73</v>
      </c>
      <c r="Q576" s="13" t="s">
        <v>32</v>
      </c>
    </row>
    <row r="577" spans="1:17" x14ac:dyDescent="0.45">
      <c r="A577" s="10">
        <v>46033</v>
      </c>
      <c r="B577" s="1" t="s">
        <v>648</v>
      </c>
      <c r="C577" s="1" t="s">
        <v>49</v>
      </c>
      <c r="D577" s="1" t="s">
        <v>21</v>
      </c>
      <c r="E577" s="1" t="s">
        <v>80</v>
      </c>
      <c r="F577" s="1" t="s">
        <v>51</v>
      </c>
      <c r="G577" s="1" t="s">
        <v>20</v>
      </c>
      <c r="H577" s="1" t="s">
        <v>23</v>
      </c>
      <c r="I577" s="1">
        <v>78</v>
      </c>
      <c r="J577" s="1">
        <v>180</v>
      </c>
      <c r="K577" s="1">
        <v>0.1</v>
      </c>
      <c r="L577" s="1">
        <v>14040</v>
      </c>
      <c r="M577" s="1">
        <v>12636</v>
      </c>
      <c r="N577" s="1">
        <v>12091.22</v>
      </c>
      <c r="O577" s="1">
        <v>1.05</v>
      </c>
      <c r="P577" s="2" t="s">
        <v>73</v>
      </c>
      <c r="Q577" s="14" t="s">
        <v>16</v>
      </c>
    </row>
    <row r="578" spans="1:17" x14ac:dyDescent="0.45">
      <c r="A578" s="10">
        <v>46152</v>
      </c>
      <c r="B578" s="1" t="s">
        <v>649</v>
      </c>
      <c r="C578" s="1" t="s">
        <v>67</v>
      </c>
      <c r="D578" s="1" t="s">
        <v>28</v>
      </c>
      <c r="E578" s="1" t="s">
        <v>65</v>
      </c>
      <c r="F578" s="1" t="s">
        <v>95</v>
      </c>
      <c r="G578" s="1" t="s">
        <v>20</v>
      </c>
      <c r="H578" s="1" t="s">
        <v>33</v>
      </c>
      <c r="I578" s="1">
        <v>146</v>
      </c>
      <c r="J578" s="1">
        <v>35</v>
      </c>
      <c r="K578" s="1">
        <v>7.0000000000000007E-2</v>
      </c>
      <c r="L578" s="1">
        <v>5110</v>
      </c>
      <c r="M578" s="1">
        <v>4752.3</v>
      </c>
      <c r="N578" s="1">
        <v>5590.97</v>
      </c>
      <c r="O578" s="1">
        <v>0.85</v>
      </c>
      <c r="P578" s="2" t="s">
        <v>73</v>
      </c>
      <c r="Q578" s="13" t="s">
        <v>32</v>
      </c>
    </row>
    <row r="579" spans="1:17" x14ac:dyDescent="0.45">
      <c r="A579" s="10">
        <v>46036</v>
      </c>
      <c r="B579" s="1" t="s">
        <v>650</v>
      </c>
      <c r="C579" s="1" t="s">
        <v>67</v>
      </c>
      <c r="D579" s="1" t="s">
        <v>25</v>
      </c>
      <c r="E579" s="1" t="s">
        <v>98</v>
      </c>
      <c r="F579" s="1" t="s">
        <v>56</v>
      </c>
      <c r="G579" s="1" t="s">
        <v>20</v>
      </c>
      <c r="H579" s="1" t="s">
        <v>23</v>
      </c>
      <c r="I579" s="1">
        <v>66</v>
      </c>
      <c r="J579" s="1">
        <v>180</v>
      </c>
      <c r="K579" s="1">
        <v>0.04</v>
      </c>
      <c r="L579" s="1">
        <v>11880</v>
      </c>
      <c r="M579" s="1">
        <v>11404.8</v>
      </c>
      <c r="N579" s="1">
        <v>12445.53</v>
      </c>
      <c r="O579" s="1">
        <v>0.92</v>
      </c>
      <c r="P579" s="2" t="s">
        <v>73</v>
      </c>
      <c r="Q579" s="14" t="s">
        <v>16</v>
      </c>
    </row>
    <row r="580" spans="1:17" x14ac:dyDescent="0.45">
      <c r="A580" s="10">
        <v>46194</v>
      </c>
      <c r="B580" s="1" t="s">
        <v>651</v>
      </c>
      <c r="C580" s="1" t="s">
        <v>58</v>
      </c>
      <c r="D580" s="1" t="s">
        <v>15</v>
      </c>
      <c r="E580" s="1" t="s">
        <v>55</v>
      </c>
      <c r="F580" s="1" t="s">
        <v>51</v>
      </c>
      <c r="G580" s="1" t="s">
        <v>24</v>
      </c>
      <c r="H580" s="1" t="s">
        <v>30</v>
      </c>
      <c r="I580" s="1">
        <v>173</v>
      </c>
      <c r="J580" s="1">
        <v>40</v>
      </c>
      <c r="K580" s="1">
        <v>0.13</v>
      </c>
      <c r="L580" s="1">
        <v>6920</v>
      </c>
      <c r="M580" s="1">
        <v>6020.4</v>
      </c>
      <c r="N580" s="1">
        <v>5860.04</v>
      </c>
      <c r="O580" s="1">
        <v>1.03</v>
      </c>
      <c r="P580" s="2" t="s">
        <v>73</v>
      </c>
      <c r="Q580" s="13" t="s">
        <v>34</v>
      </c>
    </row>
    <row r="581" spans="1:17" x14ac:dyDescent="0.45">
      <c r="A581" s="10">
        <v>46089</v>
      </c>
      <c r="B581" s="1" t="s">
        <v>652</v>
      </c>
      <c r="C581" s="1" t="s">
        <v>49</v>
      </c>
      <c r="D581" s="1" t="s">
        <v>25</v>
      </c>
      <c r="E581" s="1" t="s">
        <v>68</v>
      </c>
      <c r="F581" s="1" t="s">
        <v>51</v>
      </c>
      <c r="G581" s="1" t="s">
        <v>20</v>
      </c>
      <c r="H581" s="1" t="s">
        <v>23</v>
      </c>
      <c r="I581" s="1">
        <v>47</v>
      </c>
      <c r="J581" s="1">
        <v>180</v>
      </c>
      <c r="K581" s="1">
        <v>0.06</v>
      </c>
      <c r="L581" s="1">
        <v>8460</v>
      </c>
      <c r="M581" s="1">
        <v>7952.4</v>
      </c>
      <c r="N581" s="1">
        <v>7173.16</v>
      </c>
      <c r="O581" s="1">
        <v>1.1100000000000001</v>
      </c>
      <c r="P581" s="2" t="s">
        <v>73</v>
      </c>
      <c r="Q581" s="14" t="s">
        <v>26</v>
      </c>
    </row>
    <row r="582" spans="1:17" x14ac:dyDescent="0.45">
      <c r="A582" s="10">
        <v>46056</v>
      </c>
      <c r="B582" s="1" t="s">
        <v>653</v>
      </c>
      <c r="C582" s="1" t="s">
        <v>49</v>
      </c>
      <c r="D582" s="1" t="s">
        <v>21</v>
      </c>
      <c r="E582" s="1" t="s">
        <v>80</v>
      </c>
      <c r="F582" s="1" t="s">
        <v>95</v>
      </c>
      <c r="G582" s="1" t="s">
        <v>20</v>
      </c>
      <c r="H582" s="1" t="s">
        <v>23</v>
      </c>
      <c r="I582" s="1">
        <v>123</v>
      </c>
      <c r="J582" s="1">
        <v>180</v>
      </c>
      <c r="K582" s="1">
        <v>0.06</v>
      </c>
      <c r="L582" s="1">
        <v>22140</v>
      </c>
      <c r="M582" s="1">
        <v>20811.599999999999</v>
      </c>
      <c r="N582" s="1">
        <v>19548.57</v>
      </c>
      <c r="O582" s="1">
        <v>1.06</v>
      </c>
      <c r="P582" s="2" t="s">
        <v>73</v>
      </c>
      <c r="Q582" s="13" t="s">
        <v>22</v>
      </c>
    </row>
    <row r="583" spans="1:17" x14ac:dyDescent="0.45">
      <c r="A583" s="10">
        <v>46188</v>
      </c>
      <c r="B583" s="1" t="s">
        <v>654</v>
      </c>
      <c r="C583" s="1" t="s">
        <v>54</v>
      </c>
      <c r="D583" s="1" t="s">
        <v>21</v>
      </c>
      <c r="E583" s="1" t="s">
        <v>80</v>
      </c>
      <c r="F583" s="1" t="s">
        <v>51</v>
      </c>
      <c r="G583" s="1" t="s">
        <v>20</v>
      </c>
      <c r="H583" s="1" t="s">
        <v>33</v>
      </c>
      <c r="I583" s="1">
        <v>169</v>
      </c>
      <c r="J583" s="1">
        <v>35</v>
      </c>
      <c r="K583" s="1">
        <v>0.11</v>
      </c>
      <c r="L583" s="1">
        <v>5915</v>
      </c>
      <c r="M583" s="1">
        <v>5264.35</v>
      </c>
      <c r="N583" s="1">
        <v>6044.43</v>
      </c>
      <c r="O583" s="1">
        <v>0.87</v>
      </c>
      <c r="P583" s="2" t="s">
        <v>52</v>
      </c>
      <c r="Q583" s="14" t="s">
        <v>34</v>
      </c>
    </row>
    <row r="584" spans="1:17" x14ac:dyDescent="0.45">
      <c r="A584" s="10">
        <v>46148</v>
      </c>
      <c r="B584" s="1" t="s">
        <v>655</v>
      </c>
      <c r="C584" s="1" t="s">
        <v>75</v>
      </c>
      <c r="D584" s="1" t="s">
        <v>21</v>
      </c>
      <c r="E584" s="1" t="s">
        <v>80</v>
      </c>
      <c r="F584" s="1" t="s">
        <v>95</v>
      </c>
      <c r="G584" s="1" t="s">
        <v>20</v>
      </c>
      <c r="H584" s="1" t="s">
        <v>33</v>
      </c>
      <c r="I584" s="1">
        <v>7</v>
      </c>
      <c r="J584" s="1">
        <v>35</v>
      </c>
      <c r="K584" s="1">
        <v>0.03</v>
      </c>
      <c r="L584" s="1">
        <v>245</v>
      </c>
      <c r="M584" s="1">
        <v>237.65</v>
      </c>
      <c r="N584" s="1">
        <v>263.29000000000002</v>
      </c>
      <c r="O584" s="1">
        <v>0.9</v>
      </c>
      <c r="P584" s="2" t="s">
        <v>52</v>
      </c>
      <c r="Q584" s="13" t="s">
        <v>32</v>
      </c>
    </row>
    <row r="585" spans="1:17" x14ac:dyDescent="0.45">
      <c r="A585" s="10">
        <v>46163</v>
      </c>
      <c r="B585" s="1" t="s">
        <v>656</v>
      </c>
      <c r="C585" s="1" t="s">
        <v>75</v>
      </c>
      <c r="D585" s="1" t="s">
        <v>25</v>
      </c>
      <c r="E585" s="1" t="s">
        <v>68</v>
      </c>
      <c r="F585" s="1" t="s">
        <v>51</v>
      </c>
      <c r="G585" s="1" t="s">
        <v>20</v>
      </c>
      <c r="H585" s="1" t="s">
        <v>23</v>
      </c>
      <c r="I585" s="1">
        <v>78</v>
      </c>
      <c r="J585" s="1">
        <v>180</v>
      </c>
      <c r="K585" s="1">
        <v>0.08</v>
      </c>
      <c r="L585" s="1">
        <v>14040</v>
      </c>
      <c r="M585" s="1">
        <v>12916.8</v>
      </c>
      <c r="N585" s="1">
        <v>14759.68</v>
      </c>
      <c r="O585" s="1">
        <v>0.88</v>
      </c>
      <c r="P585" s="2" t="s">
        <v>52</v>
      </c>
      <c r="Q585" s="14" t="s">
        <v>32</v>
      </c>
    </row>
    <row r="586" spans="1:17" x14ac:dyDescent="0.45">
      <c r="A586" s="10">
        <v>46156</v>
      </c>
      <c r="B586" s="1" t="s">
        <v>657</v>
      </c>
      <c r="C586" s="1" t="s">
        <v>64</v>
      </c>
      <c r="D586" s="1" t="s">
        <v>25</v>
      </c>
      <c r="E586" s="1" t="s">
        <v>68</v>
      </c>
      <c r="F586" s="1" t="s">
        <v>71</v>
      </c>
      <c r="G586" s="1" t="s">
        <v>20</v>
      </c>
      <c r="H586" s="1" t="s">
        <v>33</v>
      </c>
      <c r="I586" s="1">
        <v>85</v>
      </c>
      <c r="J586" s="1">
        <v>35</v>
      </c>
      <c r="K586" s="1">
        <v>0.15</v>
      </c>
      <c r="L586" s="1">
        <v>2975</v>
      </c>
      <c r="M586" s="1">
        <v>2528.75</v>
      </c>
      <c r="N586" s="1">
        <v>2583.2600000000002</v>
      </c>
      <c r="O586" s="1">
        <v>0.98</v>
      </c>
      <c r="P586" s="2" t="s">
        <v>73</v>
      </c>
      <c r="Q586" s="13" t="s">
        <v>32</v>
      </c>
    </row>
    <row r="587" spans="1:17" x14ac:dyDescent="0.45">
      <c r="A587" s="10">
        <v>46140</v>
      </c>
      <c r="B587" s="1" t="s">
        <v>658</v>
      </c>
      <c r="C587" s="1" t="s">
        <v>64</v>
      </c>
      <c r="D587" s="1" t="s">
        <v>21</v>
      </c>
      <c r="E587" s="1" t="s">
        <v>80</v>
      </c>
      <c r="F587" s="1" t="s">
        <v>60</v>
      </c>
      <c r="G587" s="1" t="s">
        <v>24</v>
      </c>
      <c r="H587" s="1" t="s">
        <v>30</v>
      </c>
      <c r="I587" s="1">
        <v>123</v>
      </c>
      <c r="J587" s="1">
        <v>40</v>
      </c>
      <c r="K587" s="1">
        <v>0.13</v>
      </c>
      <c r="L587" s="1">
        <v>4920</v>
      </c>
      <c r="M587" s="1">
        <v>4280.3999999999996</v>
      </c>
      <c r="N587" s="1">
        <v>3511.77</v>
      </c>
      <c r="O587" s="1">
        <v>1.22</v>
      </c>
      <c r="P587" s="2" t="s">
        <v>52</v>
      </c>
      <c r="Q587" s="14" t="s">
        <v>29</v>
      </c>
    </row>
    <row r="588" spans="1:17" x14ac:dyDescent="0.45">
      <c r="A588" s="10">
        <v>46066</v>
      </c>
      <c r="B588" s="1" t="s">
        <v>659</v>
      </c>
      <c r="C588" s="1" t="s">
        <v>67</v>
      </c>
      <c r="D588" s="1" t="s">
        <v>28</v>
      </c>
      <c r="E588" s="1" t="s">
        <v>82</v>
      </c>
      <c r="F588" s="1" t="s">
        <v>56</v>
      </c>
      <c r="G588" s="1" t="s">
        <v>20</v>
      </c>
      <c r="H588" s="1" t="s">
        <v>33</v>
      </c>
      <c r="I588" s="1">
        <v>66</v>
      </c>
      <c r="J588" s="1">
        <v>35</v>
      </c>
      <c r="K588" s="1">
        <v>0.13</v>
      </c>
      <c r="L588" s="1">
        <v>2310</v>
      </c>
      <c r="M588" s="1">
        <v>2009.7</v>
      </c>
      <c r="N588" s="1">
        <v>2137.66</v>
      </c>
      <c r="O588" s="1">
        <v>0.94</v>
      </c>
      <c r="P588" s="2" t="s">
        <v>52</v>
      </c>
      <c r="Q588" s="13" t="s">
        <v>22</v>
      </c>
    </row>
    <row r="589" spans="1:17" x14ac:dyDescent="0.45">
      <c r="A589" s="10">
        <v>46043</v>
      </c>
      <c r="B589" s="1" t="s">
        <v>660</v>
      </c>
      <c r="C589" s="1" t="s">
        <v>75</v>
      </c>
      <c r="D589" s="1" t="s">
        <v>15</v>
      </c>
      <c r="E589" s="1" t="s">
        <v>62</v>
      </c>
      <c r="F589" s="1" t="s">
        <v>51</v>
      </c>
      <c r="G589" s="1" t="s">
        <v>20</v>
      </c>
      <c r="H589" s="1" t="s">
        <v>23</v>
      </c>
      <c r="I589" s="1">
        <v>185</v>
      </c>
      <c r="J589" s="1">
        <v>180</v>
      </c>
      <c r="K589" s="1">
        <v>7.0000000000000007E-2</v>
      </c>
      <c r="L589" s="1">
        <v>33300</v>
      </c>
      <c r="M589" s="1">
        <v>30969</v>
      </c>
      <c r="N589" s="1">
        <v>31573</v>
      </c>
      <c r="O589" s="1">
        <v>0.98</v>
      </c>
      <c r="P589" s="2" t="s">
        <v>73</v>
      </c>
      <c r="Q589" s="14" t="s">
        <v>16</v>
      </c>
    </row>
    <row r="590" spans="1:17" x14ac:dyDescent="0.45">
      <c r="A590" s="10">
        <v>46070</v>
      </c>
      <c r="B590" s="1" t="s">
        <v>661</v>
      </c>
      <c r="C590" s="1" t="s">
        <v>64</v>
      </c>
      <c r="D590" s="1" t="s">
        <v>28</v>
      </c>
      <c r="E590" s="1" t="s">
        <v>70</v>
      </c>
      <c r="F590" s="1" t="s">
        <v>78</v>
      </c>
      <c r="G590" s="1" t="s">
        <v>24</v>
      </c>
      <c r="H590" s="1" t="s">
        <v>30</v>
      </c>
      <c r="I590" s="1">
        <v>132</v>
      </c>
      <c r="J590" s="1">
        <v>40</v>
      </c>
      <c r="K590" s="1">
        <v>0.03</v>
      </c>
      <c r="L590" s="1">
        <v>5280</v>
      </c>
      <c r="M590" s="1">
        <v>5121.6000000000004</v>
      </c>
      <c r="N590" s="1">
        <v>4643.37</v>
      </c>
      <c r="O590" s="1">
        <v>1.1000000000000001</v>
      </c>
      <c r="P590" s="2" t="s">
        <v>52</v>
      </c>
      <c r="Q590" s="13" t="s">
        <v>22</v>
      </c>
    </row>
    <row r="591" spans="1:17" x14ac:dyDescent="0.45">
      <c r="A591" s="10">
        <v>46037</v>
      </c>
      <c r="B591" s="1" t="s">
        <v>662</v>
      </c>
      <c r="C591" s="1" t="s">
        <v>58</v>
      </c>
      <c r="D591" s="1" t="s">
        <v>15</v>
      </c>
      <c r="E591" s="1" t="s">
        <v>62</v>
      </c>
      <c r="F591" s="1" t="s">
        <v>56</v>
      </c>
      <c r="G591" s="1" t="s">
        <v>20</v>
      </c>
      <c r="H591" s="1" t="s">
        <v>33</v>
      </c>
      <c r="I591" s="1">
        <v>93</v>
      </c>
      <c r="J591" s="1">
        <v>35</v>
      </c>
      <c r="K591" s="1">
        <v>0.02</v>
      </c>
      <c r="L591" s="1">
        <v>3255</v>
      </c>
      <c r="M591" s="1">
        <v>3189.9</v>
      </c>
      <c r="N591" s="1">
        <v>3676.8</v>
      </c>
      <c r="O591" s="1">
        <v>0.87</v>
      </c>
      <c r="P591" s="2" t="s">
        <v>52</v>
      </c>
      <c r="Q591" s="14" t="s">
        <v>16</v>
      </c>
    </row>
    <row r="592" spans="1:17" x14ac:dyDescent="0.45">
      <c r="A592" s="10">
        <v>46061</v>
      </c>
      <c r="B592" s="1" t="s">
        <v>663</v>
      </c>
      <c r="C592" s="1" t="s">
        <v>49</v>
      </c>
      <c r="D592" s="1" t="s">
        <v>25</v>
      </c>
      <c r="E592" s="1" t="s">
        <v>98</v>
      </c>
      <c r="F592" s="1" t="s">
        <v>71</v>
      </c>
      <c r="G592" s="1" t="s">
        <v>14</v>
      </c>
      <c r="H592" s="1" t="s">
        <v>27</v>
      </c>
      <c r="I592" s="1">
        <v>26</v>
      </c>
      <c r="J592" s="1">
        <v>120</v>
      </c>
      <c r="K592" s="1">
        <v>0.09</v>
      </c>
      <c r="L592" s="1">
        <v>3120</v>
      </c>
      <c r="M592" s="1">
        <v>2839.2</v>
      </c>
      <c r="N592" s="1">
        <v>2885.31</v>
      </c>
      <c r="O592" s="1">
        <v>0.98</v>
      </c>
      <c r="P592" s="2" t="s">
        <v>52</v>
      </c>
      <c r="Q592" s="13" t="s">
        <v>22</v>
      </c>
    </row>
    <row r="593" spans="1:17" x14ac:dyDescent="0.45">
      <c r="A593" s="10">
        <v>46122</v>
      </c>
      <c r="B593" s="1" t="s">
        <v>664</v>
      </c>
      <c r="C593" s="1" t="s">
        <v>64</v>
      </c>
      <c r="D593" s="1" t="s">
        <v>28</v>
      </c>
      <c r="E593" s="1" t="s">
        <v>82</v>
      </c>
      <c r="F593" s="1" t="s">
        <v>60</v>
      </c>
      <c r="G593" s="1" t="s">
        <v>24</v>
      </c>
      <c r="H593" s="1" t="s">
        <v>30</v>
      </c>
      <c r="I593" s="1">
        <v>129</v>
      </c>
      <c r="J593" s="1">
        <v>40</v>
      </c>
      <c r="K593" s="1">
        <v>0.1</v>
      </c>
      <c r="L593" s="1">
        <v>5160</v>
      </c>
      <c r="M593" s="1">
        <v>4644</v>
      </c>
      <c r="N593" s="1">
        <v>4024.22</v>
      </c>
      <c r="O593" s="1">
        <v>1.1499999999999999</v>
      </c>
      <c r="P593" s="2" t="s">
        <v>52</v>
      </c>
      <c r="Q593" s="14" t="s">
        <v>29</v>
      </c>
    </row>
    <row r="594" spans="1:17" x14ac:dyDescent="0.45">
      <c r="A594" s="10">
        <v>46164</v>
      </c>
      <c r="B594" s="1" t="s">
        <v>665</v>
      </c>
      <c r="C594" s="1" t="s">
        <v>64</v>
      </c>
      <c r="D594" s="1" t="s">
        <v>25</v>
      </c>
      <c r="E594" s="1" t="s">
        <v>98</v>
      </c>
      <c r="F594" s="1" t="s">
        <v>56</v>
      </c>
      <c r="G594" s="1" t="s">
        <v>20</v>
      </c>
      <c r="H594" s="1" t="s">
        <v>23</v>
      </c>
      <c r="I594" s="1">
        <v>24</v>
      </c>
      <c r="J594" s="1">
        <v>180</v>
      </c>
      <c r="K594" s="1">
        <v>0.05</v>
      </c>
      <c r="L594" s="1">
        <v>4320</v>
      </c>
      <c r="M594" s="1">
        <v>4104</v>
      </c>
      <c r="N594" s="1">
        <v>3719.3</v>
      </c>
      <c r="O594" s="1">
        <v>1.1000000000000001</v>
      </c>
      <c r="P594" s="2" t="s">
        <v>52</v>
      </c>
      <c r="Q594" s="13" t="s">
        <v>32</v>
      </c>
    </row>
    <row r="595" spans="1:17" x14ac:dyDescent="0.45">
      <c r="A595" s="10">
        <v>46030</v>
      </c>
      <c r="B595" s="1" t="s">
        <v>666</v>
      </c>
      <c r="C595" s="1" t="s">
        <v>75</v>
      </c>
      <c r="D595" s="1" t="s">
        <v>15</v>
      </c>
      <c r="E595" s="1" t="s">
        <v>62</v>
      </c>
      <c r="F595" s="1" t="s">
        <v>71</v>
      </c>
      <c r="G595" s="1" t="s">
        <v>20</v>
      </c>
      <c r="H595" s="1" t="s">
        <v>23</v>
      </c>
      <c r="I595" s="1">
        <v>175</v>
      </c>
      <c r="J595" s="1">
        <v>180</v>
      </c>
      <c r="K595" s="1">
        <v>0.08</v>
      </c>
      <c r="L595" s="1">
        <v>31500</v>
      </c>
      <c r="M595" s="1">
        <v>28980</v>
      </c>
      <c r="N595" s="1">
        <v>24854.75</v>
      </c>
      <c r="O595" s="1">
        <v>1.17</v>
      </c>
      <c r="P595" s="2" t="s">
        <v>52</v>
      </c>
      <c r="Q595" s="14" t="s">
        <v>16</v>
      </c>
    </row>
    <row r="596" spans="1:17" x14ac:dyDescent="0.45">
      <c r="A596" s="10">
        <v>46190</v>
      </c>
      <c r="B596" s="1" t="s">
        <v>667</v>
      </c>
      <c r="C596" s="1" t="s">
        <v>54</v>
      </c>
      <c r="D596" s="1" t="s">
        <v>21</v>
      </c>
      <c r="E596" s="1" t="s">
        <v>50</v>
      </c>
      <c r="F596" s="1" t="s">
        <v>56</v>
      </c>
      <c r="G596" s="1" t="s">
        <v>20</v>
      </c>
      <c r="H596" s="1" t="s">
        <v>23</v>
      </c>
      <c r="I596" s="1">
        <v>142</v>
      </c>
      <c r="J596" s="1">
        <v>180</v>
      </c>
      <c r="K596" s="1">
        <v>0.03</v>
      </c>
      <c r="L596" s="1">
        <v>25560</v>
      </c>
      <c r="M596" s="1">
        <v>24793.200000000001</v>
      </c>
      <c r="N596" s="1">
        <v>23505.63</v>
      </c>
      <c r="O596" s="1">
        <v>1.05</v>
      </c>
      <c r="P596" s="2" t="s">
        <v>52</v>
      </c>
      <c r="Q596" s="13" t="s">
        <v>34</v>
      </c>
    </row>
    <row r="597" spans="1:17" x14ac:dyDescent="0.45">
      <c r="A597" s="10">
        <v>46036</v>
      </c>
      <c r="B597" s="1" t="s">
        <v>668</v>
      </c>
      <c r="C597" s="1" t="s">
        <v>54</v>
      </c>
      <c r="D597" s="1" t="s">
        <v>28</v>
      </c>
      <c r="E597" s="1" t="s">
        <v>70</v>
      </c>
      <c r="F597" s="1" t="s">
        <v>56</v>
      </c>
      <c r="G597" s="1" t="s">
        <v>24</v>
      </c>
      <c r="H597" s="1" t="s">
        <v>30</v>
      </c>
      <c r="I597" s="1">
        <v>9</v>
      </c>
      <c r="J597" s="1">
        <v>40</v>
      </c>
      <c r="K597" s="1">
        <v>0.08</v>
      </c>
      <c r="L597" s="1">
        <v>360</v>
      </c>
      <c r="M597" s="1">
        <v>331.2</v>
      </c>
      <c r="N597" s="1">
        <v>306.37</v>
      </c>
      <c r="O597" s="1">
        <v>1.08</v>
      </c>
      <c r="P597" s="2" t="s">
        <v>73</v>
      </c>
      <c r="Q597" s="14" t="s">
        <v>16</v>
      </c>
    </row>
    <row r="598" spans="1:17" x14ac:dyDescent="0.45">
      <c r="A598" s="10">
        <v>46122</v>
      </c>
      <c r="B598" s="1" t="s">
        <v>669</v>
      </c>
      <c r="C598" s="1" t="s">
        <v>75</v>
      </c>
      <c r="D598" s="1" t="s">
        <v>15</v>
      </c>
      <c r="E598" s="1" t="s">
        <v>62</v>
      </c>
      <c r="F598" s="1" t="s">
        <v>60</v>
      </c>
      <c r="G598" s="1" t="s">
        <v>14</v>
      </c>
      <c r="H598" s="1" t="s">
        <v>18</v>
      </c>
      <c r="I598" s="1">
        <v>152</v>
      </c>
      <c r="J598" s="1">
        <v>250</v>
      </c>
      <c r="K598" s="1">
        <v>0</v>
      </c>
      <c r="L598" s="1">
        <v>38000</v>
      </c>
      <c r="M598" s="1">
        <v>38000</v>
      </c>
      <c r="N598" s="1">
        <v>38512.25</v>
      </c>
      <c r="O598" s="1">
        <v>0.99</v>
      </c>
      <c r="P598" s="2" t="s">
        <v>52</v>
      </c>
      <c r="Q598" s="13" t="s">
        <v>29</v>
      </c>
    </row>
    <row r="599" spans="1:17" x14ac:dyDescent="0.45">
      <c r="A599" s="10">
        <v>46091</v>
      </c>
      <c r="B599" s="1" t="s">
        <v>670</v>
      </c>
      <c r="C599" s="1" t="s">
        <v>75</v>
      </c>
      <c r="D599" s="1" t="s">
        <v>25</v>
      </c>
      <c r="E599" s="1" t="s">
        <v>104</v>
      </c>
      <c r="F599" s="1" t="s">
        <v>95</v>
      </c>
      <c r="G599" s="1" t="s">
        <v>20</v>
      </c>
      <c r="H599" s="1" t="s">
        <v>23</v>
      </c>
      <c r="I599" s="1">
        <v>157</v>
      </c>
      <c r="J599" s="1">
        <v>180</v>
      </c>
      <c r="K599" s="1">
        <v>0.09</v>
      </c>
      <c r="L599" s="1">
        <v>28260</v>
      </c>
      <c r="M599" s="1">
        <v>25716.6</v>
      </c>
      <c r="N599" s="1">
        <v>30103.23</v>
      </c>
      <c r="O599" s="1">
        <v>0.85</v>
      </c>
      <c r="P599" s="2" t="s">
        <v>73</v>
      </c>
      <c r="Q599" s="14" t="s">
        <v>26</v>
      </c>
    </row>
    <row r="600" spans="1:17" x14ac:dyDescent="0.45">
      <c r="A600" s="10">
        <v>46074</v>
      </c>
      <c r="B600" s="1" t="s">
        <v>671</v>
      </c>
      <c r="C600" s="1" t="s">
        <v>54</v>
      </c>
      <c r="D600" s="1" t="s">
        <v>28</v>
      </c>
      <c r="E600" s="1" t="s">
        <v>82</v>
      </c>
      <c r="F600" s="1" t="s">
        <v>71</v>
      </c>
      <c r="G600" s="1" t="s">
        <v>20</v>
      </c>
      <c r="H600" s="1" t="s">
        <v>23</v>
      </c>
      <c r="I600" s="1">
        <v>89</v>
      </c>
      <c r="J600" s="1">
        <v>180</v>
      </c>
      <c r="K600" s="1">
        <v>0.12</v>
      </c>
      <c r="L600" s="1">
        <v>16020</v>
      </c>
      <c r="M600" s="1">
        <v>14097.6</v>
      </c>
      <c r="N600" s="1">
        <v>16763.919999999998</v>
      </c>
      <c r="O600" s="1">
        <v>0.84</v>
      </c>
      <c r="P600" s="2" t="s">
        <v>73</v>
      </c>
      <c r="Q600" s="13" t="s">
        <v>22</v>
      </c>
    </row>
    <row r="601" spans="1:17" x14ac:dyDescent="0.45">
      <c r="A601" s="10">
        <v>46177</v>
      </c>
      <c r="B601" s="1" t="s">
        <v>672</v>
      </c>
      <c r="C601" s="1" t="s">
        <v>54</v>
      </c>
      <c r="D601" s="1" t="s">
        <v>25</v>
      </c>
      <c r="E601" s="1" t="s">
        <v>104</v>
      </c>
      <c r="F601" s="1" t="s">
        <v>60</v>
      </c>
      <c r="G601" s="1" t="s">
        <v>20</v>
      </c>
      <c r="H601" s="1" t="s">
        <v>23</v>
      </c>
      <c r="I601" s="1">
        <v>12</v>
      </c>
      <c r="J601" s="1">
        <v>180</v>
      </c>
      <c r="K601" s="1">
        <v>0.05</v>
      </c>
      <c r="L601" s="1">
        <v>2160</v>
      </c>
      <c r="M601" s="1">
        <v>2052</v>
      </c>
      <c r="N601" s="1">
        <v>1899.87</v>
      </c>
      <c r="O601" s="1">
        <v>1.08</v>
      </c>
      <c r="P601" s="2" t="s">
        <v>52</v>
      </c>
      <c r="Q601" s="14" t="s">
        <v>34</v>
      </c>
    </row>
    <row r="602" spans="1:17" x14ac:dyDescent="0.45">
      <c r="A602" s="10">
        <v>46102</v>
      </c>
      <c r="B602" s="1" t="s">
        <v>673</v>
      </c>
      <c r="C602" s="1" t="s">
        <v>54</v>
      </c>
      <c r="D602" s="1" t="s">
        <v>28</v>
      </c>
      <c r="E602" s="1" t="s">
        <v>65</v>
      </c>
      <c r="F602" s="1" t="s">
        <v>71</v>
      </c>
      <c r="G602" s="1" t="s">
        <v>20</v>
      </c>
      <c r="H602" s="1" t="s">
        <v>33</v>
      </c>
      <c r="I602" s="1">
        <v>137</v>
      </c>
      <c r="J602" s="1">
        <v>35</v>
      </c>
      <c r="K602" s="1">
        <v>0.11</v>
      </c>
      <c r="L602" s="1">
        <v>4795</v>
      </c>
      <c r="M602" s="1">
        <v>4267.55</v>
      </c>
      <c r="N602" s="1">
        <v>3445.43</v>
      </c>
      <c r="O602" s="1">
        <v>1.24</v>
      </c>
      <c r="P602" s="2" t="s">
        <v>73</v>
      </c>
      <c r="Q602" s="13" t="s">
        <v>26</v>
      </c>
    </row>
    <row r="603" spans="1:17" x14ac:dyDescent="0.45">
      <c r="A603" s="10">
        <v>46035</v>
      </c>
      <c r="B603" s="1" t="s">
        <v>674</v>
      </c>
      <c r="C603" s="1" t="s">
        <v>54</v>
      </c>
      <c r="D603" s="1" t="s">
        <v>28</v>
      </c>
      <c r="E603" s="1" t="s">
        <v>59</v>
      </c>
      <c r="F603" s="1" t="s">
        <v>78</v>
      </c>
      <c r="G603" s="1" t="s">
        <v>20</v>
      </c>
      <c r="H603" s="1" t="s">
        <v>33</v>
      </c>
      <c r="I603" s="1">
        <v>147</v>
      </c>
      <c r="J603" s="1">
        <v>35</v>
      </c>
      <c r="K603" s="1">
        <v>0.11</v>
      </c>
      <c r="L603" s="1">
        <v>5145</v>
      </c>
      <c r="M603" s="1">
        <v>4579.05</v>
      </c>
      <c r="N603" s="1">
        <v>4268.17</v>
      </c>
      <c r="O603" s="1">
        <v>1.07</v>
      </c>
      <c r="P603" s="2" t="s">
        <v>73</v>
      </c>
      <c r="Q603" s="14" t="s">
        <v>16</v>
      </c>
    </row>
    <row r="604" spans="1:17" x14ac:dyDescent="0.45">
      <c r="A604" s="10">
        <v>46031</v>
      </c>
      <c r="B604" s="1" t="s">
        <v>675</v>
      </c>
      <c r="C604" s="1" t="s">
        <v>54</v>
      </c>
      <c r="D604" s="1" t="s">
        <v>21</v>
      </c>
      <c r="E604" s="1" t="s">
        <v>50</v>
      </c>
      <c r="F604" s="1" t="s">
        <v>71</v>
      </c>
      <c r="G604" s="1" t="s">
        <v>20</v>
      </c>
      <c r="H604" s="1" t="s">
        <v>33</v>
      </c>
      <c r="I604" s="1">
        <v>68</v>
      </c>
      <c r="J604" s="1">
        <v>35</v>
      </c>
      <c r="K604" s="1">
        <v>0.13</v>
      </c>
      <c r="L604" s="1">
        <v>2380</v>
      </c>
      <c r="M604" s="1">
        <v>2070.6</v>
      </c>
      <c r="N604" s="1">
        <v>1883.95</v>
      </c>
      <c r="O604" s="1">
        <v>1.1000000000000001</v>
      </c>
      <c r="P604" s="2" t="s">
        <v>73</v>
      </c>
      <c r="Q604" s="13" t="s">
        <v>16</v>
      </c>
    </row>
    <row r="605" spans="1:17" x14ac:dyDescent="0.45">
      <c r="A605" s="10">
        <v>46184</v>
      </c>
      <c r="B605" s="1" t="s">
        <v>676</v>
      </c>
      <c r="C605" s="1" t="s">
        <v>58</v>
      </c>
      <c r="D605" s="1" t="s">
        <v>21</v>
      </c>
      <c r="E605" s="1" t="s">
        <v>80</v>
      </c>
      <c r="F605" s="1" t="s">
        <v>71</v>
      </c>
      <c r="G605" s="1" t="s">
        <v>20</v>
      </c>
      <c r="H605" s="1" t="s">
        <v>33</v>
      </c>
      <c r="I605" s="1">
        <v>191</v>
      </c>
      <c r="J605" s="1">
        <v>35</v>
      </c>
      <c r="K605" s="1">
        <v>0.08</v>
      </c>
      <c r="L605" s="1">
        <v>6685</v>
      </c>
      <c r="M605" s="1">
        <v>6150.2</v>
      </c>
      <c r="N605" s="1">
        <v>5297.09</v>
      </c>
      <c r="O605" s="1">
        <v>1.1599999999999999</v>
      </c>
      <c r="P605" s="2" t="s">
        <v>73</v>
      </c>
      <c r="Q605" s="14" t="s">
        <v>34</v>
      </c>
    </row>
    <row r="606" spans="1:17" x14ac:dyDescent="0.45">
      <c r="A606" s="10">
        <v>46134</v>
      </c>
      <c r="B606" s="1" t="s">
        <v>677</v>
      </c>
      <c r="C606" s="1" t="s">
        <v>49</v>
      </c>
      <c r="D606" s="1" t="s">
        <v>15</v>
      </c>
      <c r="E606" s="1" t="s">
        <v>55</v>
      </c>
      <c r="F606" s="1" t="s">
        <v>60</v>
      </c>
      <c r="G606" s="1" t="s">
        <v>20</v>
      </c>
      <c r="H606" s="1" t="s">
        <v>23</v>
      </c>
      <c r="I606" s="1">
        <v>174</v>
      </c>
      <c r="J606" s="1">
        <v>180</v>
      </c>
      <c r="K606" s="1">
        <v>0.1</v>
      </c>
      <c r="L606" s="1">
        <v>31320</v>
      </c>
      <c r="M606" s="1">
        <v>28188</v>
      </c>
      <c r="N606" s="1">
        <v>29314.03</v>
      </c>
      <c r="O606" s="1">
        <v>0.96</v>
      </c>
      <c r="P606" s="2" t="s">
        <v>52</v>
      </c>
      <c r="Q606" s="13" t="s">
        <v>29</v>
      </c>
    </row>
    <row r="607" spans="1:17" x14ac:dyDescent="0.45">
      <c r="A607" s="10">
        <v>46184</v>
      </c>
      <c r="B607" s="1" t="s">
        <v>678</v>
      </c>
      <c r="C607" s="1" t="s">
        <v>58</v>
      </c>
      <c r="D607" s="1" t="s">
        <v>21</v>
      </c>
      <c r="E607" s="1" t="s">
        <v>50</v>
      </c>
      <c r="F607" s="1" t="s">
        <v>95</v>
      </c>
      <c r="G607" s="1" t="s">
        <v>14</v>
      </c>
      <c r="H607" s="1" t="s">
        <v>27</v>
      </c>
      <c r="I607" s="1">
        <v>144</v>
      </c>
      <c r="J607" s="1">
        <v>120</v>
      </c>
      <c r="K607" s="1">
        <v>0.12</v>
      </c>
      <c r="L607" s="1">
        <v>17280</v>
      </c>
      <c r="M607" s="1">
        <v>15206.4</v>
      </c>
      <c r="N607" s="1">
        <v>16902.75</v>
      </c>
      <c r="O607" s="1">
        <v>0.9</v>
      </c>
      <c r="P607" s="2" t="s">
        <v>52</v>
      </c>
      <c r="Q607" s="14" t="s">
        <v>34</v>
      </c>
    </row>
    <row r="608" spans="1:17" x14ac:dyDescent="0.45">
      <c r="A608" s="10">
        <v>46185</v>
      </c>
      <c r="B608" s="1" t="s">
        <v>679</v>
      </c>
      <c r="C608" s="1" t="s">
        <v>67</v>
      </c>
      <c r="D608" s="1" t="s">
        <v>28</v>
      </c>
      <c r="E608" s="1" t="s">
        <v>70</v>
      </c>
      <c r="F608" s="1" t="s">
        <v>78</v>
      </c>
      <c r="G608" s="1" t="s">
        <v>24</v>
      </c>
      <c r="H608" s="1" t="s">
        <v>35</v>
      </c>
      <c r="I608" s="1">
        <v>67</v>
      </c>
      <c r="J608" s="1">
        <v>30</v>
      </c>
      <c r="K608" s="1">
        <v>0.03</v>
      </c>
      <c r="L608" s="1">
        <v>2010</v>
      </c>
      <c r="M608" s="1">
        <v>1949.7</v>
      </c>
      <c r="N608" s="1">
        <v>2280.87</v>
      </c>
      <c r="O608" s="1">
        <v>0.85</v>
      </c>
      <c r="P608" s="2" t="s">
        <v>73</v>
      </c>
      <c r="Q608" s="13" t="s">
        <v>34</v>
      </c>
    </row>
    <row r="609" spans="1:17" x14ac:dyDescent="0.45">
      <c r="A609" s="10">
        <v>46169</v>
      </c>
      <c r="B609" s="1" t="s">
        <v>680</v>
      </c>
      <c r="C609" s="1" t="s">
        <v>64</v>
      </c>
      <c r="D609" s="1" t="s">
        <v>21</v>
      </c>
      <c r="E609" s="1" t="s">
        <v>50</v>
      </c>
      <c r="F609" s="1" t="s">
        <v>51</v>
      </c>
      <c r="G609" s="1" t="s">
        <v>20</v>
      </c>
      <c r="H609" s="1" t="s">
        <v>23</v>
      </c>
      <c r="I609" s="1">
        <v>90</v>
      </c>
      <c r="J609" s="1">
        <v>180</v>
      </c>
      <c r="K609" s="1">
        <v>0</v>
      </c>
      <c r="L609" s="1">
        <v>16200</v>
      </c>
      <c r="M609" s="1">
        <v>16200</v>
      </c>
      <c r="N609" s="1">
        <v>13162.18</v>
      </c>
      <c r="O609" s="1">
        <v>1.23</v>
      </c>
      <c r="P609" s="2" t="s">
        <v>73</v>
      </c>
      <c r="Q609" s="14" t="s">
        <v>32</v>
      </c>
    </row>
    <row r="610" spans="1:17" x14ac:dyDescent="0.45">
      <c r="A610" s="10">
        <v>46047</v>
      </c>
      <c r="B610" s="1" t="s">
        <v>681</v>
      </c>
      <c r="C610" s="1" t="s">
        <v>75</v>
      </c>
      <c r="D610" s="1" t="s">
        <v>15</v>
      </c>
      <c r="E610" s="1" t="s">
        <v>62</v>
      </c>
      <c r="F610" s="1" t="s">
        <v>51</v>
      </c>
      <c r="G610" s="1" t="s">
        <v>20</v>
      </c>
      <c r="H610" s="1" t="s">
        <v>23</v>
      </c>
      <c r="I610" s="1">
        <v>164</v>
      </c>
      <c r="J610" s="1">
        <v>180</v>
      </c>
      <c r="K610" s="1">
        <v>0.12</v>
      </c>
      <c r="L610" s="1">
        <v>29520</v>
      </c>
      <c r="M610" s="1">
        <v>25977.599999999999</v>
      </c>
      <c r="N610" s="1">
        <v>23097.86</v>
      </c>
      <c r="O610" s="1">
        <v>1.1200000000000001</v>
      </c>
      <c r="P610" s="2" t="s">
        <v>73</v>
      </c>
      <c r="Q610" s="13" t="s">
        <v>16</v>
      </c>
    </row>
    <row r="611" spans="1:17" x14ac:dyDescent="0.45">
      <c r="A611" s="10">
        <v>46157</v>
      </c>
      <c r="B611" s="1" t="s">
        <v>682</v>
      </c>
      <c r="C611" s="1" t="s">
        <v>75</v>
      </c>
      <c r="D611" s="1" t="s">
        <v>21</v>
      </c>
      <c r="E611" s="1" t="s">
        <v>80</v>
      </c>
      <c r="F611" s="1" t="s">
        <v>95</v>
      </c>
      <c r="G611" s="1" t="s">
        <v>14</v>
      </c>
      <c r="H611" s="1" t="s">
        <v>27</v>
      </c>
      <c r="I611" s="1">
        <v>103</v>
      </c>
      <c r="J611" s="1">
        <v>120</v>
      </c>
      <c r="K611" s="1">
        <v>0.09</v>
      </c>
      <c r="L611" s="1">
        <v>12360</v>
      </c>
      <c r="M611" s="1">
        <v>11247.6</v>
      </c>
      <c r="N611" s="1">
        <v>11029.18</v>
      </c>
      <c r="O611" s="1">
        <v>1.02</v>
      </c>
      <c r="P611" s="2" t="s">
        <v>52</v>
      </c>
      <c r="Q611" s="14" t="s">
        <v>32</v>
      </c>
    </row>
    <row r="612" spans="1:17" x14ac:dyDescent="0.45">
      <c r="A612" s="10">
        <v>46042</v>
      </c>
      <c r="B612" s="1" t="s">
        <v>683</v>
      </c>
      <c r="C612" s="1" t="s">
        <v>49</v>
      </c>
      <c r="D612" s="1" t="s">
        <v>28</v>
      </c>
      <c r="E612" s="1" t="s">
        <v>70</v>
      </c>
      <c r="F612" s="1" t="s">
        <v>78</v>
      </c>
      <c r="G612" s="1" t="s">
        <v>24</v>
      </c>
      <c r="H612" s="1" t="s">
        <v>30</v>
      </c>
      <c r="I612" s="1">
        <v>8</v>
      </c>
      <c r="J612" s="1">
        <v>40</v>
      </c>
      <c r="K612" s="1">
        <v>0.04</v>
      </c>
      <c r="L612" s="1">
        <v>320</v>
      </c>
      <c r="M612" s="1">
        <v>307.2</v>
      </c>
      <c r="N612" s="1">
        <v>269.49</v>
      </c>
      <c r="O612" s="1">
        <v>1.1399999999999999</v>
      </c>
      <c r="P612" s="2" t="s">
        <v>73</v>
      </c>
      <c r="Q612" s="13" t="s">
        <v>16</v>
      </c>
    </row>
    <row r="613" spans="1:17" x14ac:dyDescent="0.45">
      <c r="A613" s="10">
        <v>46144</v>
      </c>
      <c r="B613" s="1" t="s">
        <v>684</v>
      </c>
      <c r="C613" s="1" t="s">
        <v>54</v>
      </c>
      <c r="D613" s="1" t="s">
        <v>28</v>
      </c>
      <c r="E613" s="1" t="s">
        <v>82</v>
      </c>
      <c r="F613" s="1" t="s">
        <v>60</v>
      </c>
      <c r="G613" s="1" t="s">
        <v>24</v>
      </c>
      <c r="H613" s="1" t="s">
        <v>35</v>
      </c>
      <c r="I613" s="1">
        <v>40</v>
      </c>
      <c r="J613" s="1">
        <v>30</v>
      </c>
      <c r="K613" s="1">
        <v>0.04</v>
      </c>
      <c r="L613" s="1">
        <v>1200</v>
      </c>
      <c r="M613" s="1">
        <v>1152</v>
      </c>
      <c r="N613" s="1">
        <v>1073.6500000000001</v>
      </c>
      <c r="O613" s="1">
        <v>1.07</v>
      </c>
      <c r="P613" s="2" t="s">
        <v>52</v>
      </c>
      <c r="Q613" s="14" t="s">
        <v>32</v>
      </c>
    </row>
    <row r="614" spans="1:17" x14ac:dyDescent="0.45">
      <c r="A614" s="10">
        <v>46107</v>
      </c>
      <c r="B614" s="1" t="s">
        <v>685</v>
      </c>
      <c r="C614" s="1" t="s">
        <v>54</v>
      </c>
      <c r="D614" s="1" t="s">
        <v>25</v>
      </c>
      <c r="E614" s="1" t="s">
        <v>104</v>
      </c>
      <c r="F614" s="1" t="s">
        <v>51</v>
      </c>
      <c r="G614" s="1" t="s">
        <v>20</v>
      </c>
      <c r="H614" s="1" t="s">
        <v>23</v>
      </c>
      <c r="I614" s="1">
        <v>6</v>
      </c>
      <c r="J614" s="1">
        <v>180</v>
      </c>
      <c r="K614" s="1">
        <v>0.15</v>
      </c>
      <c r="L614" s="1">
        <v>1080</v>
      </c>
      <c r="M614" s="1">
        <v>918</v>
      </c>
      <c r="N614" s="1">
        <v>929.22</v>
      </c>
      <c r="O614" s="1">
        <v>0.99</v>
      </c>
      <c r="P614" s="2" t="s">
        <v>73</v>
      </c>
      <c r="Q614" s="13" t="s">
        <v>26</v>
      </c>
    </row>
    <row r="615" spans="1:17" x14ac:dyDescent="0.45">
      <c r="A615" s="10">
        <v>46183</v>
      </c>
      <c r="B615" s="1" t="s">
        <v>686</v>
      </c>
      <c r="C615" s="1" t="s">
        <v>64</v>
      </c>
      <c r="D615" s="1" t="s">
        <v>28</v>
      </c>
      <c r="E615" s="1" t="s">
        <v>70</v>
      </c>
      <c r="F615" s="1" t="s">
        <v>60</v>
      </c>
      <c r="G615" s="1" t="s">
        <v>20</v>
      </c>
      <c r="H615" s="1" t="s">
        <v>33</v>
      </c>
      <c r="I615" s="1">
        <v>139</v>
      </c>
      <c r="J615" s="1">
        <v>35</v>
      </c>
      <c r="K615" s="1">
        <v>0.13</v>
      </c>
      <c r="L615" s="1">
        <v>4865</v>
      </c>
      <c r="M615" s="1">
        <v>4232.55</v>
      </c>
      <c r="N615" s="1">
        <v>3948</v>
      </c>
      <c r="O615" s="1">
        <v>1.07</v>
      </c>
      <c r="P615" s="2" t="s">
        <v>73</v>
      </c>
      <c r="Q615" s="14" t="s">
        <v>34</v>
      </c>
    </row>
    <row r="616" spans="1:17" x14ac:dyDescent="0.45">
      <c r="A616" s="10">
        <v>46028</v>
      </c>
      <c r="B616" s="1" t="s">
        <v>687</v>
      </c>
      <c r="C616" s="1" t="s">
        <v>75</v>
      </c>
      <c r="D616" s="1" t="s">
        <v>25</v>
      </c>
      <c r="E616" s="1" t="s">
        <v>104</v>
      </c>
      <c r="F616" s="1" t="s">
        <v>60</v>
      </c>
      <c r="G616" s="1" t="s">
        <v>20</v>
      </c>
      <c r="H616" s="1" t="s">
        <v>23</v>
      </c>
      <c r="I616" s="1">
        <v>152</v>
      </c>
      <c r="J616" s="1">
        <v>180</v>
      </c>
      <c r="K616" s="1">
        <v>0.11</v>
      </c>
      <c r="L616" s="1">
        <v>27360</v>
      </c>
      <c r="M616" s="1">
        <v>24350.400000000001</v>
      </c>
      <c r="N616" s="1">
        <v>26836.32</v>
      </c>
      <c r="O616" s="1">
        <v>0.91</v>
      </c>
      <c r="P616" s="2" t="s">
        <v>73</v>
      </c>
      <c r="Q616" s="13" t="s">
        <v>16</v>
      </c>
    </row>
    <row r="617" spans="1:17" x14ac:dyDescent="0.45">
      <c r="A617" s="10">
        <v>46203</v>
      </c>
      <c r="B617" s="1" t="s">
        <v>688</v>
      </c>
      <c r="C617" s="1" t="s">
        <v>54</v>
      </c>
      <c r="D617" s="1" t="s">
        <v>28</v>
      </c>
      <c r="E617" s="1" t="s">
        <v>70</v>
      </c>
      <c r="F617" s="1" t="s">
        <v>71</v>
      </c>
      <c r="G617" s="1" t="s">
        <v>14</v>
      </c>
      <c r="H617" s="1" t="s">
        <v>18</v>
      </c>
      <c r="I617" s="1">
        <v>76</v>
      </c>
      <c r="J617" s="1">
        <v>250</v>
      </c>
      <c r="K617" s="1">
        <v>0.14000000000000001</v>
      </c>
      <c r="L617" s="1">
        <v>19000</v>
      </c>
      <c r="M617" s="1">
        <v>16340</v>
      </c>
      <c r="N617" s="1">
        <v>19565.169999999998</v>
      </c>
      <c r="O617" s="1">
        <v>0.84</v>
      </c>
      <c r="P617" s="2" t="s">
        <v>52</v>
      </c>
      <c r="Q617" s="14" t="s">
        <v>34</v>
      </c>
    </row>
    <row r="618" spans="1:17" x14ac:dyDescent="0.45">
      <c r="A618" s="10">
        <v>46192</v>
      </c>
      <c r="B618" s="1" t="s">
        <v>689</v>
      </c>
      <c r="C618" s="1" t="s">
        <v>49</v>
      </c>
      <c r="D618" s="1" t="s">
        <v>25</v>
      </c>
      <c r="E618" s="1" t="s">
        <v>68</v>
      </c>
      <c r="F618" s="1" t="s">
        <v>60</v>
      </c>
      <c r="G618" s="1" t="s">
        <v>24</v>
      </c>
      <c r="H618" s="1" t="s">
        <v>35</v>
      </c>
      <c r="I618" s="1">
        <v>179</v>
      </c>
      <c r="J618" s="1">
        <v>30</v>
      </c>
      <c r="K618" s="1">
        <v>0.1</v>
      </c>
      <c r="L618" s="1">
        <v>5370</v>
      </c>
      <c r="M618" s="1">
        <v>4833</v>
      </c>
      <c r="N618" s="1">
        <v>4198.84</v>
      </c>
      <c r="O618" s="1">
        <v>1.1499999999999999</v>
      </c>
      <c r="P618" s="2" t="s">
        <v>52</v>
      </c>
      <c r="Q618" s="13" t="s">
        <v>34</v>
      </c>
    </row>
    <row r="619" spans="1:17" x14ac:dyDescent="0.45">
      <c r="A619" s="10">
        <v>46104</v>
      </c>
      <c r="B619" s="1" t="s">
        <v>690</v>
      </c>
      <c r="C619" s="1" t="s">
        <v>67</v>
      </c>
      <c r="D619" s="1" t="s">
        <v>15</v>
      </c>
      <c r="E619" s="1" t="s">
        <v>55</v>
      </c>
      <c r="F619" s="1" t="s">
        <v>56</v>
      </c>
      <c r="G619" s="1" t="s">
        <v>14</v>
      </c>
      <c r="H619" s="1" t="s">
        <v>27</v>
      </c>
      <c r="I619" s="1">
        <v>144</v>
      </c>
      <c r="J619" s="1">
        <v>120</v>
      </c>
      <c r="K619" s="1">
        <v>0.05</v>
      </c>
      <c r="L619" s="1">
        <v>17280</v>
      </c>
      <c r="M619" s="1">
        <v>16416</v>
      </c>
      <c r="N619" s="1">
        <v>15702.12</v>
      </c>
      <c r="O619" s="1">
        <v>1.05</v>
      </c>
      <c r="P619" s="2" t="s">
        <v>73</v>
      </c>
      <c r="Q619" s="14" t="s">
        <v>26</v>
      </c>
    </row>
    <row r="620" spans="1:17" x14ac:dyDescent="0.45">
      <c r="A620" s="10">
        <v>46154</v>
      </c>
      <c r="B620" s="1" t="s">
        <v>691</v>
      </c>
      <c r="C620" s="1" t="s">
        <v>49</v>
      </c>
      <c r="D620" s="1" t="s">
        <v>25</v>
      </c>
      <c r="E620" s="1" t="s">
        <v>68</v>
      </c>
      <c r="F620" s="1" t="s">
        <v>56</v>
      </c>
      <c r="G620" s="1" t="s">
        <v>14</v>
      </c>
      <c r="H620" s="1" t="s">
        <v>27</v>
      </c>
      <c r="I620" s="1">
        <v>183</v>
      </c>
      <c r="J620" s="1">
        <v>120</v>
      </c>
      <c r="K620" s="1">
        <v>0.04</v>
      </c>
      <c r="L620" s="1">
        <v>21960</v>
      </c>
      <c r="M620" s="1">
        <v>21081.599999999999</v>
      </c>
      <c r="N620" s="1">
        <v>20033.46</v>
      </c>
      <c r="O620" s="1">
        <v>1.05</v>
      </c>
      <c r="P620" s="2" t="s">
        <v>52</v>
      </c>
      <c r="Q620" s="13" t="s">
        <v>32</v>
      </c>
    </row>
    <row r="621" spans="1:17" x14ac:dyDescent="0.45">
      <c r="A621" s="10">
        <v>46161</v>
      </c>
      <c r="B621" s="1" t="s">
        <v>692</v>
      </c>
      <c r="C621" s="1" t="s">
        <v>67</v>
      </c>
      <c r="D621" s="1" t="s">
        <v>25</v>
      </c>
      <c r="E621" s="1" t="s">
        <v>68</v>
      </c>
      <c r="F621" s="1" t="s">
        <v>95</v>
      </c>
      <c r="G621" s="1" t="s">
        <v>14</v>
      </c>
      <c r="H621" s="1" t="s">
        <v>18</v>
      </c>
      <c r="I621" s="1">
        <v>145</v>
      </c>
      <c r="J621" s="1">
        <v>250</v>
      </c>
      <c r="K621" s="1">
        <v>0.08</v>
      </c>
      <c r="L621" s="1">
        <v>36250</v>
      </c>
      <c r="M621" s="1">
        <v>33350</v>
      </c>
      <c r="N621" s="1">
        <v>30890.98</v>
      </c>
      <c r="O621" s="1">
        <v>1.08</v>
      </c>
      <c r="P621" s="2" t="s">
        <v>73</v>
      </c>
      <c r="Q621" s="14" t="s">
        <v>32</v>
      </c>
    </row>
    <row r="622" spans="1:17" x14ac:dyDescent="0.45">
      <c r="A622" s="10">
        <v>46202</v>
      </c>
      <c r="B622" s="1" t="s">
        <v>693</v>
      </c>
      <c r="C622" s="1" t="s">
        <v>64</v>
      </c>
      <c r="D622" s="1" t="s">
        <v>25</v>
      </c>
      <c r="E622" s="1" t="s">
        <v>98</v>
      </c>
      <c r="F622" s="1" t="s">
        <v>71</v>
      </c>
      <c r="G622" s="1" t="s">
        <v>14</v>
      </c>
      <c r="H622" s="1" t="s">
        <v>18</v>
      </c>
      <c r="I622" s="1">
        <v>44</v>
      </c>
      <c r="J622" s="1">
        <v>250</v>
      </c>
      <c r="K622" s="1">
        <v>0.1</v>
      </c>
      <c r="L622" s="1">
        <v>11000</v>
      </c>
      <c r="M622" s="1">
        <v>9900</v>
      </c>
      <c r="N622" s="1">
        <v>9204.36</v>
      </c>
      <c r="O622" s="1">
        <v>1.08</v>
      </c>
      <c r="P622" s="2" t="s">
        <v>73</v>
      </c>
      <c r="Q622" s="13" t="s">
        <v>34</v>
      </c>
    </row>
    <row r="623" spans="1:17" x14ac:dyDescent="0.45">
      <c r="A623" s="10">
        <v>46102</v>
      </c>
      <c r="B623" s="1" t="s">
        <v>694</v>
      </c>
      <c r="C623" s="1" t="s">
        <v>64</v>
      </c>
      <c r="D623" s="1" t="s">
        <v>28</v>
      </c>
      <c r="E623" s="1" t="s">
        <v>70</v>
      </c>
      <c r="F623" s="1" t="s">
        <v>71</v>
      </c>
      <c r="G623" s="1" t="s">
        <v>14</v>
      </c>
      <c r="H623" s="1" t="s">
        <v>18</v>
      </c>
      <c r="I623" s="1">
        <v>122</v>
      </c>
      <c r="J623" s="1">
        <v>250</v>
      </c>
      <c r="K623" s="1">
        <v>0.12</v>
      </c>
      <c r="L623" s="1">
        <v>30500</v>
      </c>
      <c r="M623" s="1">
        <v>26840</v>
      </c>
      <c r="N623" s="1">
        <v>23543.83</v>
      </c>
      <c r="O623" s="1">
        <v>1.1399999999999999</v>
      </c>
      <c r="P623" s="2" t="s">
        <v>52</v>
      </c>
      <c r="Q623" s="14" t="s">
        <v>26</v>
      </c>
    </row>
    <row r="624" spans="1:17" x14ac:dyDescent="0.45">
      <c r="A624" s="10">
        <v>46032</v>
      </c>
      <c r="B624" s="1" t="s">
        <v>695</v>
      </c>
      <c r="C624" s="1" t="s">
        <v>64</v>
      </c>
      <c r="D624" s="1" t="s">
        <v>25</v>
      </c>
      <c r="E624" s="1" t="s">
        <v>98</v>
      </c>
      <c r="F624" s="1" t="s">
        <v>78</v>
      </c>
      <c r="G624" s="1" t="s">
        <v>24</v>
      </c>
      <c r="H624" s="1" t="s">
        <v>35</v>
      </c>
      <c r="I624" s="1">
        <v>69</v>
      </c>
      <c r="J624" s="1">
        <v>30</v>
      </c>
      <c r="K624" s="1">
        <v>0.04</v>
      </c>
      <c r="L624" s="1">
        <v>2070</v>
      </c>
      <c r="M624" s="1">
        <v>1987.2</v>
      </c>
      <c r="N624" s="1">
        <v>2118.2399999999998</v>
      </c>
      <c r="O624" s="1">
        <v>0.94</v>
      </c>
      <c r="P624" s="2" t="s">
        <v>52</v>
      </c>
      <c r="Q624" s="13" t="s">
        <v>16</v>
      </c>
    </row>
    <row r="625" spans="1:17" x14ac:dyDescent="0.45">
      <c r="A625" s="10">
        <v>46051</v>
      </c>
      <c r="B625" s="1" t="s">
        <v>696</v>
      </c>
      <c r="C625" s="1" t="s">
        <v>75</v>
      </c>
      <c r="D625" s="1" t="s">
        <v>15</v>
      </c>
      <c r="E625" s="1" t="s">
        <v>55</v>
      </c>
      <c r="F625" s="1" t="s">
        <v>95</v>
      </c>
      <c r="G625" s="1" t="s">
        <v>20</v>
      </c>
      <c r="H625" s="1" t="s">
        <v>33</v>
      </c>
      <c r="I625" s="1">
        <v>57</v>
      </c>
      <c r="J625" s="1">
        <v>35</v>
      </c>
      <c r="K625" s="1">
        <v>0.1</v>
      </c>
      <c r="L625" s="1">
        <v>1995</v>
      </c>
      <c r="M625" s="1">
        <v>1795.5</v>
      </c>
      <c r="N625" s="1">
        <v>1852.84</v>
      </c>
      <c r="O625" s="1">
        <v>0.97</v>
      </c>
      <c r="P625" s="2" t="s">
        <v>52</v>
      </c>
      <c r="Q625" s="14" t="s">
        <v>16</v>
      </c>
    </row>
    <row r="626" spans="1:17" x14ac:dyDescent="0.45">
      <c r="A626" s="10">
        <v>46155</v>
      </c>
      <c r="B626" s="1" t="s">
        <v>697</v>
      </c>
      <c r="C626" s="1" t="s">
        <v>54</v>
      </c>
      <c r="D626" s="1" t="s">
        <v>25</v>
      </c>
      <c r="E626" s="1" t="s">
        <v>98</v>
      </c>
      <c r="F626" s="1" t="s">
        <v>78</v>
      </c>
      <c r="G626" s="1" t="s">
        <v>14</v>
      </c>
      <c r="H626" s="1" t="s">
        <v>27</v>
      </c>
      <c r="I626" s="1">
        <v>158</v>
      </c>
      <c r="J626" s="1">
        <v>120</v>
      </c>
      <c r="K626" s="1">
        <v>0.02</v>
      </c>
      <c r="L626" s="1">
        <v>18960</v>
      </c>
      <c r="M626" s="1">
        <v>18580.8</v>
      </c>
      <c r="N626" s="1">
        <v>18224.34</v>
      </c>
      <c r="O626" s="1">
        <v>1.02</v>
      </c>
      <c r="P626" s="2" t="s">
        <v>73</v>
      </c>
      <c r="Q626" s="13" t="s">
        <v>32</v>
      </c>
    </row>
    <row r="627" spans="1:17" x14ac:dyDescent="0.45">
      <c r="A627" s="10">
        <v>46112</v>
      </c>
      <c r="B627" s="1" t="s">
        <v>698</v>
      </c>
      <c r="C627" s="1" t="s">
        <v>49</v>
      </c>
      <c r="D627" s="1" t="s">
        <v>15</v>
      </c>
      <c r="E627" s="1" t="s">
        <v>62</v>
      </c>
      <c r="F627" s="1" t="s">
        <v>71</v>
      </c>
      <c r="G627" s="1" t="s">
        <v>24</v>
      </c>
      <c r="H627" s="1" t="s">
        <v>35</v>
      </c>
      <c r="I627" s="1">
        <v>114</v>
      </c>
      <c r="J627" s="1">
        <v>30</v>
      </c>
      <c r="K627" s="1">
        <v>7.0000000000000007E-2</v>
      </c>
      <c r="L627" s="1">
        <v>3420</v>
      </c>
      <c r="M627" s="1">
        <v>3180.6</v>
      </c>
      <c r="N627" s="1">
        <v>3701.71</v>
      </c>
      <c r="O627" s="1">
        <v>0.86</v>
      </c>
      <c r="P627" s="2" t="s">
        <v>52</v>
      </c>
      <c r="Q627" s="14" t="s">
        <v>26</v>
      </c>
    </row>
    <row r="628" spans="1:17" x14ac:dyDescent="0.45">
      <c r="A628" s="10">
        <v>46083</v>
      </c>
      <c r="B628" s="1" t="s">
        <v>699</v>
      </c>
      <c r="C628" s="1" t="s">
        <v>75</v>
      </c>
      <c r="D628" s="1" t="s">
        <v>21</v>
      </c>
      <c r="E628" s="1" t="s">
        <v>80</v>
      </c>
      <c r="F628" s="1" t="s">
        <v>56</v>
      </c>
      <c r="G628" s="1" t="s">
        <v>20</v>
      </c>
      <c r="H628" s="1" t="s">
        <v>33</v>
      </c>
      <c r="I628" s="1">
        <v>57</v>
      </c>
      <c r="J628" s="1">
        <v>35</v>
      </c>
      <c r="K628" s="1">
        <v>0.05</v>
      </c>
      <c r="L628" s="1">
        <v>1995</v>
      </c>
      <c r="M628" s="1">
        <v>1895.25</v>
      </c>
      <c r="N628" s="1">
        <v>1859.93</v>
      </c>
      <c r="O628" s="1">
        <v>1.02</v>
      </c>
      <c r="P628" s="2" t="s">
        <v>52</v>
      </c>
      <c r="Q628" s="13" t="s">
        <v>26</v>
      </c>
    </row>
    <row r="629" spans="1:17" x14ac:dyDescent="0.45">
      <c r="A629" s="10">
        <v>46152</v>
      </c>
      <c r="B629" s="1" t="s">
        <v>700</v>
      </c>
      <c r="C629" s="1" t="s">
        <v>64</v>
      </c>
      <c r="D629" s="1" t="s">
        <v>28</v>
      </c>
      <c r="E629" s="1" t="s">
        <v>59</v>
      </c>
      <c r="F629" s="1" t="s">
        <v>71</v>
      </c>
      <c r="G629" s="1" t="s">
        <v>14</v>
      </c>
      <c r="H629" s="1" t="s">
        <v>27</v>
      </c>
      <c r="I629" s="1">
        <v>75</v>
      </c>
      <c r="J629" s="1">
        <v>120</v>
      </c>
      <c r="K629" s="1">
        <v>7.0000000000000007E-2</v>
      </c>
      <c r="L629" s="1">
        <v>9000</v>
      </c>
      <c r="M629" s="1">
        <v>8370</v>
      </c>
      <c r="N629" s="1">
        <v>9776.36</v>
      </c>
      <c r="O629" s="1">
        <v>0.86</v>
      </c>
      <c r="P629" s="2" t="s">
        <v>73</v>
      </c>
      <c r="Q629" s="14" t="s">
        <v>32</v>
      </c>
    </row>
    <row r="630" spans="1:17" x14ac:dyDescent="0.45">
      <c r="A630" s="10">
        <v>46074</v>
      </c>
      <c r="B630" s="1" t="s">
        <v>701</v>
      </c>
      <c r="C630" s="1" t="s">
        <v>67</v>
      </c>
      <c r="D630" s="1" t="s">
        <v>15</v>
      </c>
      <c r="E630" s="1" t="s">
        <v>55</v>
      </c>
      <c r="F630" s="1" t="s">
        <v>60</v>
      </c>
      <c r="G630" s="1" t="s">
        <v>20</v>
      </c>
      <c r="H630" s="1" t="s">
        <v>23</v>
      </c>
      <c r="I630" s="1">
        <v>181</v>
      </c>
      <c r="J630" s="1">
        <v>180</v>
      </c>
      <c r="K630" s="1">
        <v>0.08</v>
      </c>
      <c r="L630" s="1">
        <v>32580</v>
      </c>
      <c r="M630" s="1">
        <v>29973.599999999999</v>
      </c>
      <c r="N630" s="1">
        <v>30897.439999999999</v>
      </c>
      <c r="O630" s="1">
        <v>0.97</v>
      </c>
      <c r="P630" s="2" t="s">
        <v>52</v>
      </c>
      <c r="Q630" s="13" t="s">
        <v>22</v>
      </c>
    </row>
    <row r="631" spans="1:17" x14ac:dyDescent="0.45">
      <c r="A631" s="10">
        <v>46037</v>
      </c>
      <c r="B631" s="1" t="s">
        <v>702</v>
      </c>
      <c r="C631" s="1" t="s">
        <v>49</v>
      </c>
      <c r="D631" s="1" t="s">
        <v>25</v>
      </c>
      <c r="E631" s="1" t="s">
        <v>98</v>
      </c>
      <c r="F631" s="1" t="s">
        <v>56</v>
      </c>
      <c r="G631" s="1" t="s">
        <v>14</v>
      </c>
      <c r="H631" s="1" t="s">
        <v>18</v>
      </c>
      <c r="I631" s="1">
        <v>14</v>
      </c>
      <c r="J631" s="1">
        <v>250</v>
      </c>
      <c r="K631" s="1">
        <v>0.09</v>
      </c>
      <c r="L631" s="1">
        <v>3500</v>
      </c>
      <c r="M631" s="1">
        <v>3185</v>
      </c>
      <c r="N631" s="1">
        <v>3287.03</v>
      </c>
      <c r="O631" s="1">
        <v>0.97</v>
      </c>
      <c r="P631" s="2" t="s">
        <v>52</v>
      </c>
      <c r="Q631" s="14" t="s">
        <v>16</v>
      </c>
    </row>
    <row r="632" spans="1:17" x14ac:dyDescent="0.45">
      <c r="A632" s="10">
        <v>46066</v>
      </c>
      <c r="B632" s="1" t="s">
        <v>703</v>
      </c>
      <c r="C632" s="1" t="s">
        <v>54</v>
      </c>
      <c r="D632" s="1" t="s">
        <v>25</v>
      </c>
      <c r="E632" s="1" t="s">
        <v>104</v>
      </c>
      <c r="F632" s="1" t="s">
        <v>78</v>
      </c>
      <c r="G632" s="1" t="s">
        <v>14</v>
      </c>
      <c r="H632" s="1" t="s">
        <v>18</v>
      </c>
      <c r="I632" s="1">
        <v>26</v>
      </c>
      <c r="J632" s="1">
        <v>250</v>
      </c>
      <c r="K632" s="1">
        <v>0.06</v>
      </c>
      <c r="L632" s="1">
        <v>6500</v>
      </c>
      <c r="M632" s="1">
        <v>6110</v>
      </c>
      <c r="N632" s="1">
        <v>5016.1400000000003</v>
      </c>
      <c r="O632" s="1">
        <v>1.22</v>
      </c>
      <c r="P632" s="2" t="s">
        <v>73</v>
      </c>
      <c r="Q632" s="13" t="s">
        <v>22</v>
      </c>
    </row>
    <row r="633" spans="1:17" x14ac:dyDescent="0.45">
      <c r="A633" s="10">
        <v>46026</v>
      </c>
      <c r="B633" s="1" t="s">
        <v>704</v>
      </c>
      <c r="C633" s="1" t="s">
        <v>67</v>
      </c>
      <c r="D633" s="1" t="s">
        <v>28</v>
      </c>
      <c r="E633" s="1" t="s">
        <v>65</v>
      </c>
      <c r="F633" s="1" t="s">
        <v>78</v>
      </c>
      <c r="G633" s="1" t="s">
        <v>20</v>
      </c>
      <c r="H633" s="1" t="s">
        <v>33</v>
      </c>
      <c r="I633" s="1">
        <v>21</v>
      </c>
      <c r="J633" s="1">
        <v>35</v>
      </c>
      <c r="K633" s="1">
        <v>0.02</v>
      </c>
      <c r="L633" s="1">
        <v>735</v>
      </c>
      <c r="M633" s="1">
        <v>720.3</v>
      </c>
      <c r="N633" s="1">
        <v>825.68</v>
      </c>
      <c r="O633" s="1">
        <v>0.87</v>
      </c>
      <c r="P633" s="2" t="s">
        <v>73</v>
      </c>
      <c r="Q633" s="14" t="s">
        <v>16</v>
      </c>
    </row>
    <row r="634" spans="1:17" x14ac:dyDescent="0.45">
      <c r="A634" s="10">
        <v>46142</v>
      </c>
      <c r="B634" s="1" t="s">
        <v>705</v>
      </c>
      <c r="C634" s="1" t="s">
        <v>49</v>
      </c>
      <c r="D634" s="1" t="s">
        <v>25</v>
      </c>
      <c r="E634" s="1" t="s">
        <v>68</v>
      </c>
      <c r="F634" s="1" t="s">
        <v>60</v>
      </c>
      <c r="G634" s="1" t="s">
        <v>24</v>
      </c>
      <c r="H634" s="1" t="s">
        <v>35</v>
      </c>
      <c r="I634" s="1">
        <v>97</v>
      </c>
      <c r="J634" s="1">
        <v>30</v>
      </c>
      <c r="K634" s="1">
        <v>0.11</v>
      </c>
      <c r="L634" s="1">
        <v>2910</v>
      </c>
      <c r="M634" s="1">
        <v>2589.9</v>
      </c>
      <c r="N634" s="1">
        <v>2702.64</v>
      </c>
      <c r="O634" s="1">
        <v>0.96</v>
      </c>
      <c r="P634" s="2" t="s">
        <v>52</v>
      </c>
      <c r="Q634" s="13" t="s">
        <v>29</v>
      </c>
    </row>
    <row r="635" spans="1:17" x14ac:dyDescent="0.45">
      <c r="A635" s="10">
        <v>46089</v>
      </c>
      <c r="B635" s="1" t="s">
        <v>706</v>
      </c>
      <c r="C635" s="1" t="s">
        <v>75</v>
      </c>
      <c r="D635" s="1" t="s">
        <v>25</v>
      </c>
      <c r="E635" s="1" t="s">
        <v>98</v>
      </c>
      <c r="F635" s="1" t="s">
        <v>56</v>
      </c>
      <c r="G635" s="1" t="s">
        <v>20</v>
      </c>
      <c r="H635" s="1" t="s">
        <v>33</v>
      </c>
      <c r="I635" s="1">
        <v>113</v>
      </c>
      <c r="J635" s="1">
        <v>35</v>
      </c>
      <c r="K635" s="1">
        <v>0.01</v>
      </c>
      <c r="L635" s="1">
        <v>3955</v>
      </c>
      <c r="M635" s="1">
        <v>3915.45</v>
      </c>
      <c r="N635" s="1">
        <v>3679.42</v>
      </c>
      <c r="O635" s="1">
        <v>1.06</v>
      </c>
      <c r="P635" s="2" t="s">
        <v>52</v>
      </c>
      <c r="Q635" s="14" t="s">
        <v>26</v>
      </c>
    </row>
    <row r="636" spans="1:17" x14ac:dyDescent="0.45">
      <c r="A636" s="10">
        <v>46072</v>
      </c>
      <c r="B636" s="1" t="s">
        <v>707</v>
      </c>
      <c r="C636" s="1" t="s">
        <v>64</v>
      </c>
      <c r="D636" s="1" t="s">
        <v>28</v>
      </c>
      <c r="E636" s="1" t="s">
        <v>65</v>
      </c>
      <c r="F636" s="1" t="s">
        <v>95</v>
      </c>
      <c r="G636" s="1" t="s">
        <v>14</v>
      </c>
      <c r="H636" s="1" t="s">
        <v>18</v>
      </c>
      <c r="I636" s="1">
        <v>14</v>
      </c>
      <c r="J636" s="1">
        <v>250</v>
      </c>
      <c r="K636" s="1">
        <v>0.15</v>
      </c>
      <c r="L636" s="1">
        <v>3500</v>
      </c>
      <c r="M636" s="1">
        <v>2975</v>
      </c>
      <c r="N636" s="1">
        <v>3467.3</v>
      </c>
      <c r="O636" s="1">
        <v>0.86</v>
      </c>
      <c r="P636" s="2" t="s">
        <v>52</v>
      </c>
      <c r="Q636" s="13" t="s">
        <v>22</v>
      </c>
    </row>
    <row r="637" spans="1:17" x14ac:dyDescent="0.45">
      <c r="A637" s="10">
        <v>46115</v>
      </c>
      <c r="B637" s="1" t="s">
        <v>708</v>
      </c>
      <c r="C637" s="1" t="s">
        <v>49</v>
      </c>
      <c r="D637" s="1" t="s">
        <v>25</v>
      </c>
      <c r="E637" s="1" t="s">
        <v>104</v>
      </c>
      <c r="F637" s="1" t="s">
        <v>78</v>
      </c>
      <c r="G637" s="1" t="s">
        <v>14</v>
      </c>
      <c r="H637" s="1" t="s">
        <v>18</v>
      </c>
      <c r="I637" s="1">
        <v>41</v>
      </c>
      <c r="J637" s="1">
        <v>250</v>
      </c>
      <c r="K637" s="1">
        <v>0.04</v>
      </c>
      <c r="L637" s="1">
        <v>10250</v>
      </c>
      <c r="M637" s="1">
        <v>9840</v>
      </c>
      <c r="N637" s="1">
        <v>10476.219999999999</v>
      </c>
      <c r="O637" s="1">
        <v>0.94</v>
      </c>
      <c r="P637" s="2" t="s">
        <v>52</v>
      </c>
      <c r="Q637" s="14" t="s">
        <v>29</v>
      </c>
    </row>
    <row r="638" spans="1:17" x14ac:dyDescent="0.45">
      <c r="A638" s="10">
        <v>46159</v>
      </c>
      <c r="B638" s="1" t="s">
        <v>709</v>
      </c>
      <c r="C638" s="1" t="s">
        <v>58</v>
      </c>
      <c r="D638" s="1" t="s">
        <v>25</v>
      </c>
      <c r="E638" s="1" t="s">
        <v>68</v>
      </c>
      <c r="F638" s="1" t="s">
        <v>78</v>
      </c>
      <c r="G638" s="1" t="s">
        <v>14</v>
      </c>
      <c r="H638" s="1" t="s">
        <v>27</v>
      </c>
      <c r="I638" s="1">
        <v>170</v>
      </c>
      <c r="J638" s="1">
        <v>120</v>
      </c>
      <c r="K638" s="1">
        <v>0.06</v>
      </c>
      <c r="L638" s="1">
        <v>20400</v>
      </c>
      <c r="M638" s="1">
        <v>19176</v>
      </c>
      <c r="N638" s="1">
        <v>20493.150000000001</v>
      </c>
      <c r="O638" s="1">
        <v>0.94</v>
      </c>
      <c r="P638" s="2" t="s">
        <v>52</v>
      </c>
      <c r="Q638" s="13" t="s">
        <v>32</v>
      </c>
    </row>
    <row r="639" spans="1:17" x14ac:dyDescent="0.45">
      <c r="A639" s="10">
        <v>46061</v>
      </c>
      <c r="B639" s="1" t="s">
        <v>710</v>
      </c>
      <c r="C639" s="1" t="s">
        <v>49</v>
      </c>
      <c r="D639" s="1" t="s">
        <v>21</v>
      </c>
      <c r="E639" s="1" t="s">
        <v>80</v>
      </c>
      <c r="F639" s="1" t="s">
        <v>56</v>
      </c>
      <c r="G639" s="1" t="s">
        <v>20</v>
      </c>
      <c r="H639" s="1" t="s">
        <v>33</v>
      </c>
      <c r="I639" s="1">
        <v>95</v>
      </c>
      <c r="J639" s="1">
        <v>35</v>
      </c>
      <c r="K639" s="1">
        <v>0.03</v>
      </c>
      <c r="L639" s="1">
        <v>3325</v>
      </c>
      <c r="M639" s="1">
        <v>3225.25</v>
      </c>
      <c r="N639" s="1">
        <v>3545.52</v>
      </c>
      <c r="O639" s="1">
        <v>0.91</v>
      </c>
      <c r="P639" s="2" t="s">
        <v>52</v>
      </c>
      <c r="Q639" s="14" t="s">
        <v>22</v>
      </c>
    </row>
    <row r="640" spans="1:17" x14ac:dyDescent="0.45">
      <c r="A640" s="10">
        <v>46095</v>
      </c>
      <c r="B640" s="1" t="s">
        <v>711</v>
      </c>
      <c r="C640" s="1" t="s">
        <v>49</v>
      </c>
      <c r="D640" s="1" t="s">
        <v>25</v>
      </c>
      <c r="E640" s="1" t="s">
        <v>104</v>
      </c>
      <c r="F640" s="1" t="s">
        <v>51</v>
      </c>
      <c r="G640" s="1" t="s">
        <v>14</v>
      </c>
      <c r="H640" s="1" t="s">
        <v>27</v>
      </c>
      <c r="I640" s="1">
        <v>170</v>
      </c>
      <c r="J640" s="1">
        <v>120</v>
      </c>
      <c r="K640" s="1">
        <v>0.04</v>
      </c>
      <c r="L640" s="1">
        <v>20400</v>
      </c>
      <c r="M640" s="1">
        <v>19584</v>
      </c>
      <c r="N640" s="1">
        <v>17692.150000000001</v>
      </c>
      <c r="O640" s="1">
        <v>1.1100000000000001</v>
      </c>
      <c r="P640" s="2" t="s">
        <v>52</v>
      </c>
      <c r="Q640" s="13" t="s">
        <v>26</v>
      </c>
    </row>
    <row r="641" spans="1:17" x14ac:dyDescent="0.45">
      <c r="A641" s="10">
        <v>46167</v>
      </c>
      <c r="B641" s="1" t="s">
        <v>712</v>
      </c>
      <c r="C641" s="1" t="s">
        <v>58</v>
      </c>
      <c r="D641" s="1" t="s">
        <v>21</v>
      </c>
      <c r="E641" s="1" t="s">
        <v>80</v>
      </c>
      <c r="F641" s="1" t="s">
        <v>60</v>
      </c>
      <c r="G641" s="1" t="s">
        <v>24</v>
      </c>
      <c r="H641" s="1" t="s">
        <v>30</v>
      </c>
      <c r="I641" s="1">
        <v>130</v>
      </c>
      <c r="J641" s="1">
        <v>40</v>
      </c>
      <c r="K641" s="1">
        <v>0.04</v>
      </c>
      <c r="L641" s="1">
        <v>5200</v>
      </c>
      <c r="M641" s="1">
        <v>4992</v>
      </c>
      <c r="N641" s="1">
        <v>5036.8900000000003</v>
      </c>
      <c r="O641" s="1">
        <v>0.99</v>
      </c>
      <c r="P641" s="2" t="s">
        <v>52</v>
      </c>
      <c r="Q641" s="14" t="s">
        <v>32</v>
      </c>
    </row>
    <row r="642" spans="1:17" x14ac:dyDescent="0.45">
      <c r="A642" s="10">
        <v>46051</v>
      </c>
      <c r="B642" s="1" t="s">
        <v>713</v>
      </c>
      <c r="C642" s="1" t="s">
        <v>67</v>
      </c>
      <c r="D642" s="1" t="s">
        <v>21</v>
      </c>
      <c r="E642" s="1" t="s">
        <v>50</v>
      </c>
      <c r="F642" s="1" t="s">
        <v>51</v>
      </c>
      <c r="G642" s="1" t="s">
        <v>24</v>
      </c>
      <c r="H642" s="1" t="s">
        <v>30</v>
      </c>
      <c r="I642" s="1">
        <v>34</v>
      </c>
      <c r="J642" s="1">
        <v>40</v>
      </c>
      <c r="K642" s="1">
        <v>0.01</v>
      </c>
      <c r="L642" s="1">
        <v>1360</v>
      </c>
      <c r="M642" s="1">
        <v>1346.4</v>
      </c>
      <c r="N642" s="1">
        <v>1092.48</v>
      </c>
      <c r="O642" s="1">
        <v>1.23</v>
      </c>
      <c r="P642" s="2" t="s">
        <v>52</v>
      </c>
      <c r="Q642" s="13" t="s">
        <v>16</v>
      </c>
    </row>
    <row r="643" spans="1:17" x14ac:dyDescent="0.45">
      <c r="A643" s="10">
        <v>46159</v>
      </c>
      <c r="B643" s="1" t="s">
        <v>714</v>
      </c>
      <c r="C643" s="1" t="s">
        <v>67</v>
      </c>
      <c r="D643" s="1" t="s">
        <v>21</v>
      </c>
      <c r="E643" s="1" t="s">
        <v>80</v>
      </c>
      <c r="F643" s="1" t="s">
        <v>78</v>
      </c>
      <c r="G643" s="1" t="s">
        <v>24</v>
      </c>
      <c r="H643" s="1" t="s">
        <v>30</v>
      </c>
      <c r="I643" s="1">
        <v>92</v>
      </c>
      <c r="J643" s="1">
        <v>40</v>
      </c>
      <c r="K643" s="1">
        <v>0.06</v>
      </c>
      <c r="L643" s="1">
        <v>3680</v>
      </c>
      <c r="M643" s="1">
        <v>3459.2</v>
      </c>
      <c r="N643" s="1">
        <v>2829.33</v>
      </c>
      <c r="O643" s="1">
        <v>1.22</v>
      </c>
      <c r="P643" s="2" t="s">
        <v>73</v>
      </c>
      <c r="Q643" s="14" t="s">
        <v>32</v>
      </c>
    </row>
    <row r="644" spans="1:17" x14ac:dyDescent="0.45">
      <c r="A644" s="10">
        <v>46090</v>
      </c>
      <c r="B644" s="1" t="s">
        <v>715</v>
      </c>
      <c r="C644" s="1" t="s">
        <v>67</v>
      </c>
      <c r="D644" s="1" t="s">
        <v>15</v>
      </c>
      <c r="E644" s="1" t="s">
        <v>55</v>
      </c>
      <c r="F644" s="1" t="s">
        <v>51</v>
      </c>
      <c r="G644" s="1" t="s">
        <v>20</v>
      </c>
      <c r="H644" s="1" t="s">
        <v>33</v>
      </c>
      <c r="I644" s="1">
        <v>32</v>
      </c>
      <c r="J644" s="1">
        <v>35</v>
      </c>
      <c r="K644" s="1">
        <v>0.02</v>
      </c>
      <c r="L644" s="1">
        <v>1120</v>
      </c>
      <c r="M644" s="1">
        <v>1097.5999999999999</v>
      </c>
      <c r="N644" s="1">
        <v>1280.23</v>
      </c>
      <c r="O644" s="1">
        <v>0.86</v>
      </c>
      <c r="P644" s="2" t="s">
        <v>52</v>
      </c>
      <c r="Q644" s="13" t="s">
        <v>26</v>
      </c>
    </row>
    <row r="645" spans="1:17" x14ac:dyDescent="0.45">
      <c r="A645" s="10">
        <v>46032</v>
      </c>
      <c r="B645" s="1" t="s">
        <v>716</v>
      </c>
      <c r="C645" s="1" t="s">
        <v>58</v>
      </c>
      <c r="D645" s="1" t="s">
        <v>21</v>
      </c>
      <c r="E645" s="1" t="s">
        <v>80</v>
      </c>
      <c r="F645" s="1" t="s">
        <v>51</v>
      </c>
      <c r="G645" s="1" t="s">
        <v>20</v>
      </c>
      <c r="H645" s="1" t="s">
        <v>33</v>
      </c>
      <c r="I645" s="1">
        <v>83</v>
      </c>
      <c r="J645" s="1">
        <v>35</v>
      </c>
      <c r="K645" s="1">
        <v>0.11</v>
      </c>
      <c r="L645" s="1">
        <v>2905</v>
      </c>
      <c r="M645" s="1">
        <v>2585.4499999999998</v>
      </c>
      <c r="N645" s="1">
        <v>3043.53</v>
      </c>
      <c r="O645" s="1">
        <v>0.85</v>
      </c>
      <c r="P645" s="2" t="s">
        <v>52</v>
      </c>
      <c r="Q645" s="14" t="s">
        <v>16</v>
      </c>
    </row>
    <row r="646" spans="1:17" x14ac:dyDescent="0.45">
      <c r="A646" s="10">
        <v>46027</v>
      </c>
      <c r="B646" s="1" t="s">
        <v>717</v>
      </c>
      <c r="C646" s="1" t="s">
        <v>49</v>
      </c>
      <c r="D646" s="1" t="s">
        <v>28</v>
      </c>
      <c r="E646" s="1" t="s">
        <v>59</v>
      </c>
      <c r="F646" s="1" t="s">
        <v>60</v>
      </c>
      <c r="G646" s="1" t="s">
        <v>20</v>
      </c>
      <c r="H646" s="1" t="s">
        <v>33</v>
      </c>
      <c r="I646" s="1">
        <v>119</v>
      </c>
      <c r="J646" s="1">
        <v>35</v>
      </c>
      <c r="K646" s="1">
        <v>0.06</v>
      </c>
      <c r="L646" s="1">
        <v>4165</v>
      </c>
      <c r="M646" s="1">
        <v>3915.1</v>
      </c>
      <c r="N646" s="1">
        <v>4436.46</v>
      </c>
      <c r="O646" s="1">
        <v>0.88</v>
      </c>
      <c r="P646" s="2" t="s">
        <v>73</v>
      </c>
      <c r="Q646" s="13" t="s">
        <v>16</v>
      </c>
    </row>
    <row r="647" spans="1:17" x14ac:dyDescent="0.45">
      <c r="A647" s="10">
        <v>46159</v>
      </c>
      <c r="B647" s="1" t="s">
        <v>718</v>
      </c>
      <c r="C647" s="1" t="s">
        <v>54</v>
      </c>
      <c r="D647" s="1" t="s">
        <v>28</v>
      </c>
      <c r="E647" s="1" t="s">
        <v>82</v>
      </c>
      <c r="F647" s="1" t="s">
        <v>95</v>
      </c>
      <c r="G647" s="1" t="s">
        <v>24</v>
      </c>
      <c r="H647" s="1" t="s">
        <v>35</v>
      </c>
      <c r="I647" s="1">
        <v>190</v>
      </c>
      <c r="J647" s="1">
        <v>30</v>
      </c>
      <c r="K647" s="1">
        <v>0.05</v>
      </c>
      <c r="L647" s="1">
        <v>5700</v>
      </c>
      <c r="M647" s="1">
        <v>5415</v>
      </c>
      <c r="N647" s="1">
        <v>4956.46</v>
      </c>
      <c r="O647" s="1">
        <v>1.0900000000000001</v>
      </c>
      <c r="P647" s="2" t="s">
        <v>52</v>
      </c>
      <c r="Q647" s="14" t="s">
        <v>32</v>
      </c>
    </row>
    <row r="648" spans="1:17" x14ac:dyDescent="0.45">
      <c r="A648" s="10">
        <v>46133</v>
      </c>
      <c r="B648" s="1" t="s">
        <v>719</v>
      </c>
      <c r="C648" s="1" t="s">
        <v>49</v>
      </c>
      <c r="D648" s="1" t="s">
        <v>25</v>
      </c>
      <c r="E648" s="1" t="s">
        <v>98</v>
      </c>
      <c r="F648" s="1" t="s">
        <v>51</v>
      </c>
      <c r="G648" s="1" t="s">
        <v>14</v>
      </c>
      <c r="H648" s="1" t="s">
        <v>18</v>
      </c>
      <c r="I648" s="1">
        <v>51</v>
      </c>
      <c r="J648" s="1">
        <v>250</v>
      </c>
      <c r="K648" s="1">
        <v>0.1</v>
      </c>
      <c r="L648" s="1">
        <v>12750</v>
      </c>
      <c r="M648" s="1">
        <v>11475</v>
      </c>
      <c r="N648" s="1">
        <v>12102.67</v>
      </c>
      <c r="O648" s="1">
        <v>0.95</v>
      </c>
      <c r="P648" s="2" t="s">
        <v>73</v>
      </c>
      <c r="Q648" s="13" t="s">
        <v>29</v>
      </c>
    </row>
    <row r="649" spans="1:17" x14ac:dyDescent="0.45">
      <c r="A649" s="10">
        <v>46061</v>
      </c>
      <c r="B649" s="1" t="s">
        <v>720</v>
      </c>
      <c r="C649" s="1" t="s">
        <v>64</v>
      </c>
      <c r="D649" s="1" t="s">
        <v>21</v>
      </c>
      <c r="E649" s="1" t="s">
        <v>80</v>
      </c>
      <c r="F649" s="1" t="s">
        <v>56</v>
      </c>
      <c r="G649" s="1" t="s">
        <v>14</v>
      </c>
      <c r="H649" s="1" t="s">
        <v>18</v>
      </c>
      <c r="I649" s="1">
        <v>18</v>
      </c>
      <c r="J649" s="1">
        <v>250</v>
      </c>
      <c r="K649" s="1">
        <v>0.05</v>
      </c>
      <c r="L649" s="1">
        <v>4500</v>
      </c>
      <c r="M649" s="1">
        <v>4275</v>
      </c>
      <c r="N649" s="1">
        <v>4564.2</v>
      </c>
      <c r="O649" s="1">
        <v>0.94</v>
      </c>
      <c r="P649" s="2" t="s">
        <v>52</v>
      </c>
      <c r="Q649" s="14" t="s">
        <v>22</v>
      </c>
    </row>
    <row r="650" spans="1:17" x14ac:dyDescent="0.45">
      <c r="A650" s="10">
        <v>46080</v>
      </c>
      <c r="B650" s="1" t="s">
        <v>721</v>
      </c>
      <c r="C650" s="1" t="s">
        <v>75</v>
      </c>
      <c r="D650" s="1" t="s">
        <v>21</v>
      </c>
      <c r="E650" s="1" t="s">
        <v>50</v>
      </c>
      <c r="F650" s="1" t="s">
        <v>56</v>
      </c>
      <c r="G650" s="1" t="s">
        <v>20</v>
      </c>
      <c r="H650" s="1" t="s">
        <v>33</v>
      </c>
      <c r="I650" s="1">
        <v>161</v>
      </c>
      <c r="J650" s="1">
        <v>35</v>
      </c>
      <c r="K650" s="1">
        <v>0.02</v>
      </c>
      <c r="L650" s="1">
        <v>5635</v>
      </c>
      <c r="M650" s="1">
        <v>5522.3</v>
      </c>
      <c r="N650" s="1">
        <v>4676.68</v>
      </c>
      <c r="O650" s="1">
        <v>1.18</v>
      </c>
      <c r="P650" s="2" t="s">
        <v>73</v>
      </c>
      <c r="Q650" s="13" t="s">
        <v>22</v>
      </c>
    </row>
    <row r="651" spans="1:17" x14ac:dyDescent="0.45">
      <c r="A651" s="10">
        <v>46185</v>
      </c>
      <c r="B651" s="1" t="s">
        <v>722</v>
      </c>
      <c r="C651" s="1" t="s">
        <v>54</v>
      </c>
      <c r="D651" s="1" t="s">
        <v>25</v>
      </c>
      <c r="E651" s="1" t="s">
        <v>98</v>
      </c>
      <c r="F651" s="1" t="s">
        <v>95</v>
      </c>
      <c r="G651" s="1" t="s">
        <v>24</v>
      </c>
      <c r="H651" s="1" t="s">
        <v>30</v>
      </c>
      <c r="I651" s="1">
        <v>137</v>
      </c>
      <c r="J651" s="1">
        <v>40</v>
      </c>
      <c r="K651" s="1">
        <v>0.1</v>
      </c>
      <c r="L651" s="1">
        <v>5480</v>
      </c>
      <c r="M651" s="1">
        <v>4932</v>
      </c>
      <c r="N651" s="1">
        <v>5299.14</v>
      </c>
      <c r="O651" s="1">
        <v>0.93</v>
      </c>
      <c r="P651" s="2" t="s">
        <v>73</v>
      </c>
      <c r="Q651" s="14" t="s">
        <v>34</v>
      </c>
    </row>
    <row r="652" spans="1:17" x14ac:dyDescent="0.45">
      <c r="A652" s="10">
        <v>46195</v>
      </c>
      <c r="B652" s="1" t="s">
        <v>723</v>
      </c>
      <c r="C652" s="1" t="s">
        <v>75</v>
      </c>
      <c r="D652" s="1" t="s">
        <v>25</v>
      </c>
      <c r="E652" s="1" t="s">
        <v>98</v>
      </c>
      <c r="F652" s="1" t="s">
        <v>71</v>
      </c>
      <c r="G652" s="1" t="s">
        <v>20</v>
      </c>
      <c r="H652" s="1" t="s">
        <v>23</v>
      </c>
      <c r="I652" s="1">
        <v>140</v>
      </c>
      <c r="J652" s="1">
        <v>180</v>
      </c>
      <c r="K652" s="1">
        <v>0.12</v>
      </c>
      <c r="L652" s="1">
        <v>25200</v>
      </c>
      <c r="M652" s="1">
        <v>22176</v>
      </c>
      <c r="N652" s="1">
        <v>25288.81</v>
      </c>
      <c r="O652" s="1">
        <v>0.88</v>
      </c>
      <c r="P652" s="2" t="s">
        <v>52</v>
      </c>
      <c r="Q652" s="13" t="s">
        <v>34</v>
      </c>
    </row>
    <row r="653" spans="1:17" x14ac:dyDescent="0.45">
      <c r="A653" s="10">
        <v>46038</v>
      </c>
      <c r="B653" s="1" t="s">
        <v>724</v>
      </c>
      <c r="C653" s="1" t="s">
        <v>64</v>
      </c>
      <c r="D653" s="1" t="s">
        <v>28</v>
      </c>
      <c r="E653" s="1" t="s">
        <v>65</v>
      </c>
      <c r="F653" s="1" t="s">
        <v>78</v>
      </c>
      <c r="G653" s="1" t="s">
        <v>20</v>
      </c>
      <c r="H653" s="1" t="s">
        <v>33</v>
      </c>
      <c r="I653" s="1">
        <v>72</v>
      </c>
      <c r="J653" s="1">
        <v>35</v>
      </c>
      <c r="K653" s="1">
        <v>0.01</v>
      </c>
      <c r="L653" s="1">
        <v>2520</v>
      </c>
      <c r="M653" s="1">
        <v>2494.8000000000002</v>
      </c>
      <c r="N653" s="1">
        <v>2460.0100000000002</v>
      </c>
      <c r="O653" s="1">
        <v>1.01</v>
      </c>
      <c r="P653" s="2" t="s">
        <v>52</v>
      </c>
      <c r="Q653" s="14" t="s">
        <v>16</v>
      </c>
    </row>
    <row r="654" spans="1:17" x14ac:dyDescent="0.45">
      <c r="A654" s="10">
        <v>46163</v>
      </c>
      <c r="B654" s="1" t="s">
        <v>725</v>
      </c>
      <c r="C654" s="1" t="s">
        <v>49</v>
      </c>
      <c r="D654" s="1" t="s">
        <v>21</v>
      </c>
      <c r="E654" s="1" t="s">
        <v>50</v>
      </c>
      <c r="F654" s="1" t="s">
        <v>51</v>
      </c>
      <c r="G654" s="1" t="s">
        <v>20</v>
      </c>
      <c r="H654" s="1" t="s">
        <v>23</v>
      </c>
      <c r="I654" s="1">
        <v>25</v>
      </c>
      <c r="J654" s="1">
        <v>180</v>
      </c>
      <c r="K654" s="1">
        <v>0.03</v>
      </c>
      <c r="L654" s="1">
        <v>4500</v>
      </c>
      <c r="M654" s="1">
        <v>4365</v>
      </c>
      <c r="N654" s="1">
        <v>4587.43</v>
      </c>
      <c r="O654" s="1">
        <v>0.95</v>
      </c>
      <c r="P654" s="2" t="s">
        <v>52</v>
      </c>
      <c r="Q654" s="13" t="s">
        <v>32</v>
      </c>
    </row>
    <row r="655" spans="1:17" x14ac:dyDescent="0.45">
      <c r="A655" s="10">
        <v>46037</v>
      </c>
      <c r="B655" s="1" t="s">
        <v>726</v>
      </c>
      <c r="C655" s="1" t="s">
        <v>75</v>
      </c>
      <c r="D655" s="1" t="s">
        <v>25</v>
      </c>
      <c r="E655" s="1" t="s">
        <v>68</v>
      </c>
      <c r="F655" s="1" t="s">
        <v>51</v>
      </c>
      <c r="G655" s="1" t="s">
        <v>20</v>
      </c>
      <c r="H655" s="1" t="s">
        <v>23</v>
      </c>
      <c r="I655" s="1">
        <v>37</v>
      </c>
      <c r="J655" s="1">
        <v>180</v>
      </c>
      <c r="K655" s="1">
        <v>0.03</v>
      </c>
      <c r="L655" s="1">
        <v>6660</v>
      </c>
      <c r="M655" s="1">
        <v>6460.2</v>
      </c>
      <c r="N655" s="1">
        <v>6084.2</v>
      </c>
      <c r="O655" s="1">
        <v>1.06</v>
      </c>
      <c r="P655" s="2" t="s">
        <v>73</v>
      </c>
      <c r="Q655" s="14" t="s">
        <v>16</v>
      </c>
    </row>
    <row r="656" spans="1:17" x14ac:dyDescent="0.45">
      <c r="A656" s="10">
        <v>46113</v>
      </c>
      <c r="B656" s="1" t="s">
        <v>727</v>
      </c>
      <c r="C656" s="1" t="s">
        <v>67</v>
      </c>
      <c r="D656" s="1" t="s">
        <v>28</v>
      </c>
      <c r="E656" s="1" t="s">
        <v>59</v>
      </c>
      <c r="F656" s="1" t="s">
        <v>71</v>
      </c>
      <c r="G656" s="1" t="s">
        <v>20</v>
      </c>
      <c r="H656" s="1" t="s">
        <v>33</v>
      </c>
      <c r="I656" s="1">
        <v>47</v>
      </c>
      <c r="J656" s="1">
        <v>35</v>
      </c>
      <c r="K656" s="1">
        <v>0.05</v>
      </c>
      <c r="L656" s="1">
        <v>1645</v>
      </c>
      <c r="M656" s="1">
        <v>1562.75</v>
      </c>
      <c r="N656" s="1">
        <v>1829.34</v>
      </c>
      <c r="O656" s="1">
        <v>0.85</v>
      </c>
      <c r="P656" s="2" t="s">
        <v>73</v>
      </c>
      <c r="Q656" s="13" t="s">
        <v>29</v>
      </c>
    </row>
    <row r="657" spans="1:17" x14ac:dyDescent="0.45">
      <c r="A657" s="10">
        <v>46097</v>
      </c>
      <c r="B657" s="1" t="s">
        <v>728</v>
      </c>
      <c r="C657" s="1" t="s">
        <v>54</v>
      </c>
      <c r="D657" s="1" t="s">
        <v>15</v>
      </c>
      <c r="E657" s="1" t="s">
        <v>62</v>
      </c>
      <c r="F657" s="1" t="s">
        <v>56</v>
      </c>
      <c r="G657" s="1" t="s">
        <v>20</v>
      </c>
      <c r="H657" s="1" t="s">
        <v>33</v>
      </c>
      <c r="I657" s="1">
        <v>38</v>
      </c>
      <c r="J657" s="1">
        <v>35</v>
      </c>
      <c r="K657" s="1">
        <v>0.06</v>
      </c>
      <c r="L657" s="1">
        <v>1330</v>
      </c>
      <c r="M657" s="1">
        <v>1250.2</v>
      </c>
      <c r="N657" s="1">
        <v>1245.3699999999999</v>
      </c>
      <c r="O657" s="1">
        <v>1</v>
      </c>
      <c r="P657" s="2" t="s">
        <v>52</v>
      </c>
      <c r="Q657" s="14" t="s">
        <v>26</v>
      </c>
    </row>
    <row r="658" spans="1:17" x14ac:dyDescent="0.45">
      <c r="A658" s="10">
        <v>46097</v>
      </c>
      <c r="B658" s="1" t="s">
        <v>729</v>
      </c>
      <c r="C658" s="1" t="s">
        <v>64</v>
      </c>
      <c r="D658" s="1" t="s">
        <v>15</v>
      </c>
      <c r="E658" s="1" t="s">
        <v>55</v>
      </c>
      <c r="F658" s="1" t="s">
        <v>95</v>
      </c>
      <c r="G658" s="1" t="s">
        <v>24</v>
      </c>
      <c r="H658" s="1" t="s">
        <v>30</v>
      </c>
      <c r="I658" s="1">
        <v>18</v>
      </c>
      <c r="J658" s="1">
        <v>40</v>
      </c>
      <c r="K658" s="1">
        <v>0.09</v>
      </c>
      <c r="L658" s="1">
        <v>720</v>
      </c>
      <c r="M658" s="1">
        <v>655.20000000000005</v>
      </c>
      <c r="N658" s="1">
        <v>624.57000000000005</v>
      </c>
      <c r="O658" s="1">
        <v>1.05</v>
      </c>
      <c r="P658" s="2" t="s">
        <v>52</v>
      </c>
      <c r="Q658" s="13" t="s">
        <v>26</v>
      </c>
    </row>
    <row r="659" spans="1:17" x14ac:dyDescent="0.45">
      <c r="A659" s="10">
        <v>46034</v>
      </c>
      <c r="B659" s="1" t="s">
        <v>730</v>
      </c>
      <c r="C659" s="1" t="s">
        <v>67</v>
      </c>
      <c r="D659" s="1" t="s">
        <v>28</v>
      </c>
      <c r="E659" s="1" t="s">
        <v>70</v>
      </c>
      <c r="F659" s="1" t="s">
        <v>51</v>
      </c>
      <c r="G659" s="1" t="s">
        <v>24</v>
      </c>
      <c r="H659" s="1" t="s">
        <v>30</v>
      </c>
      <c r="I659" s="1">
        <v>118</v>
      </c>
      <c r="J659" s="1">
        <v>40</v>
      </c>
      <c r="K659" s="1">
        <v>0.15</v>
      </c>
      <c r="L659" s="1">
        <v>4720</v>
      </c>
      <c r="M659" s="1">
        <v>4012</v>
      </c>
      <c r="N659" s="1">
        <v>4717.33</v>
      </c>
      <c r="O659" s="1">
        <v>0.85</v>
      </c>
      <c r="P659" s="2" t="s">
        <v>52</v>
      </c>
      <c r="Q659" s="14" t="s">
        <v>16</v>
      </c>
    </row>
    <row r="660" spans="1:17" x14ac:dyDescent="0.45">
      <c r="A660" s="10">
        <v>46088</v>
      </c>
      <c r="B660" s="1" t="s">
        <v>731</v>
      </c>
      <c r="C660" s="1" t="s">
        <v>58</v>
      </c>
      <c r="D660" s="1" t="s">
        <v>25</v>
      </c>
      <c r="E660" s="1" t="s">
        <v>104</v>
      </c>
      <c r="F660" s="1" t="s">
        <v>95</v>
      </c>
      <c r="G660" s="1" t="s">
        <v>14</v>
      </c>
      <c r="H660" s="1" t="s">
        <v>27</v>
      </c>
      <c r="I660" s="1">
        <v>138</v>
      </c>
      <c r="J660" s="1">
        <v>120</v>
      </c>
      <c r="K660" s="1">
        <v>0.02</v>
      </c>
      <c r="L660" s="1">
        <v>16560</v>
      </c>
      <c r="M660" s="1">
        <v>16228.8</v>
      </c>
      <c r="N660" s="1">
        <v>14976.55</v>
      </c>
      <c r="O660" s="1">
        <v>1.08</v>
      </c>
      <c r="P660" s="2" t="s">
        <v>73</v>
      </c>
      <c r="Q660" s="13" t="s">
        <v>26</v>
      </c>
    </row>
    <row r="661" spans="1:17" x14ac:dyDescent="0.45">
      <c r="A661" s="10">
        <v>46142</v>
      </c>
      <c r="B661" s="1" t="s">
        <v>732</v>
      </c>
      <c r="C661" s="1" t="s">
        <v>49</v>
      </c>
      <c r="D661" s="1" t="s">
        <v>21</v>
      </c>
      <c r="E661" s="1" t="s">
        <v>80</v>
      </c>
      <c r="F661" s="1" t="s">
        <v>95</v>
      </c>
      <c r="G661" s="1" t="s">
        <v>24</v>
      </c>
      <c r="H661" s="1" t="s">
        <v>35</v>
      </c>
      <c r="I661" s="1">
        <v>156</v>
      </c>
      <c r="J661" s="1">
        <v>30</v>
      </c>
      <c r="K661" s="1">
        <v>0.06</v>
      </c>
      <c r="L661" s="1">
        <v>4680</v>
      </c>
      <c r="M661" s="1">
        <v>4399.2</v>
      </c>
      <c r="N661" s="1">
        <v>3792.62</v>
      </c>
      <c r="O661" s="1">
        <v>1.1599999999999999</v>
      </c>
      <c r="P661" s="2" t="s">
        <v>73</v>
      </c>
      <c r="Q661" s="14" t="s">
        <v>29</v>
      </c>
    </row>
    <row r="662" spans="1:17" x14ac:dyDescent="0.45">
      <c r="A662" s="10">
        <v>46107</v>
      </c>
      <c r="B662" s="1" t="s">
        <v>733</v>
      </c>
      <c r="C662" s="1" t="s">
        <v>58</v>
      </c>
      <c r="D662" s="1" t="s">
        <v>28</v>
      </c>
      <c r="E662" s="1" t="s">
        <v>82</v>
      </c>
      <c r="F662" s="1" t="s">
        <v>51</v>
      </c>
      <c r="G662" s="1" t="s">
        <v>24</v>
      </c>
      <c r="H662" s="1" t="s">
        <v>30</v>
      </c>
      <c r="I662" s="1">
        <v>24</v>
      </c>
      <c r="J662" s="1">
        <v>40</v>
      </c>
      <c r="K662" s="1">
        <v>0.06</v>
      </c>
      <c r="L662" s="1">
        <v>960</v>
      </c>
      <c r="M662" s="1">
        <v>902.4</v>
      </c>
      <c r="N662" s="1">
        <v>970.62</v>
      </c>
      <c r="O662" s="1">
        <v>0.93</v>
      </c>
      <c r="P662" s="2" t="s">
        <v>73</v>
      </c>
      <c r="Q662" s="13" t="s">
        <v>26</v>
      </c>
    </row>
    <row r="663" spans="1:17" x14ac:dyDescent="0.45">
      <c r="A663" s="10">
        <v>46144</v>
      </c>
      <c r="B663" s="1" t="s">
        <v>734</v>
      </c>
      <c r="C663" s="1" t="s">
        <v>75</v>
      </c>
      <c r="D663" s="1" t="s">
        <v>28</v>
      </c>
      <c r="E663" s="1" t="s">
        <v>70</v>
      </c>
      <c r="F663" s="1" t="s">
        <v>56</v>
      </c>
      <c r="G663" s="1" t="s">
        <v>20</v>
      </c>
      <c r="H663" s="1" t="s">
        <v>23</v>
      </c>
      <c r="I663" s="1">
        <v>186</v>
      </c>
      <c r="J663" s="1">
        <v>180</v>
      </c>
      <c r="K663" s="1">
        <v>0.04</v>
      </c>
      <c r="L663" s="1">
        <v>33480</v>
      </c>
      <c r="M663" s="1">
        <v>32140.799999999999</v>
      </c>
      <c r="N663" s="1">
        <v>27128.7</v>
      </c>
      <c r="O663" s="1">
        <v>1.18</v>
      </c>
      <c r="P663" s="2" t="s">
        <v>52</v>
      </c>
      <c r="Q663" s="14" t="s">
        <v>32</v>
      </c>
    </row>
    <row r="664" spans="1:17" x14ac:dyDescent="0.45">
      <c r="A664" s="10">
        <v>46182</v>
      </c>
      <c r="B664" s="1" t="s">
        <v>735</v>
      </c>
      <c r="C664" s="1" t="s">
        <v>67</v>
      </c>
      <c r="D664" s="1" t="s">
        <v>21</v>
      </c>
      <c r="E664" s="1" t="s">
        <v>50</v>
      </c>
      <c r="F664" s="1" t="s">
        <v>95</v>
      </c>
      <c r="G664" s="1" t="s">
        <v>14</v>
      </c>
      <c r="H664" s="1" t="s">
        <v>18</v>
      </c>
      <c r="I664" s="1">
        <v>58</v>
      </c>
      <c r="J664" s="1">
        <v>250</v>
      </c>
      <c r="K664" s="1">
        <v>0.06</v>
      </c>
      <c r="L664" s="1">
        <v>14500</v>
      </c>
      <c r="M664" s="1">
        <v>13630</v>
      </c>
      <c r="N664" s="1">
        <v>11532.63</v>
      </c>
      <c r="O664" s="1">
        <v>1.18</v>
      </c>
      <c r="P664" s="2" t="s">
        <v>52</v>
      </c>
      <c r="Q664" s="13" t="s">
        <v>34</v>
      </c>
    </row>
    <row r="665" spans="1:17" x14ac:dyDescent="0.45">
      <c r="A665" s="10">
        <v>46038</v>
      </c>
      <c r="B665" s="1" t="s">
        <v>736</v>
      </c>
      <c r="C665" s="1" t="s">
        <v>75</v>
      </c>
      <c r="D665" s="1" t="s">
        <v>21</v>
      </c>
      <c r="E665" s="1" t="s">
        <v>80</v>
      </c>
      <c r="F665" s="1" t="s">
        <v>60</v>
      </c>
      <c r="G665" s="1" t="s">
        <v>14</v>
      </c>
      <c r="H665" s="1" t="s">
        <v>18</v>
      </c>
      <c r="I665" s="1">
        <v>29</v>
      </c>
      <c r="J665" s="1">
        <v>250</v>
      </c>
      <c r="K665" s="1">
        <v>0.04</v>
      </c>
      <c r="L665" s="1">
        <v>7250</v>
      </c>
      <c r="M665" s="1">
        <v>6960</v>
      </c>
      <c r="N665" s="1">
        <v>6909.24</v>
      </c>
      <c r="O665" s="1">
        <v>1.01</v>
      </c>
      <c r="P665" s="2" t="s">
        <v>73</v>
      </c>
      <c r="Q665" s="14" t="s">
        <v>16</v>
      </c>
    </row>
    <row r="666" spans="1:17" x14ac:dyDescent="0.45">
      <c r="A666" s="10">
        <v>46071</v>
      </c>
      <c r="B666" s="1" t="s">
        <v>737</v>
      </c>
      <c r="C666" s="1" t="s">
        <v>75</v>
      </c>
      <c r="D666" s="1" t="s">
        <v>15</v>
      </c>
      <c r="E666" s="1" t="s">
        <v>62</v>
      </c>
      <c r="F666" s="1" t="s">
        <v>56</v>
      </c>
      <c r="G666" s="1" t="s">
        <v>14</v>
      </c>
      <c r="H666" s="1" t="s">
        <v>27</v>
      </c>
      <c r="I666" s="1">
        <v>31</v>
      </c>
      <c r="J666" s="1">
        <v>120</v>
      </c>
      <c r="K666" s="1">
        <v>0.12</v>
      </c>
      <c r="L666" s="1">
        <v>3720</v>
      </c>
      <c r="M666" s="1">
        <v>3273.6</v>
      </c>
      <c r="N666" s="1">
        <v>2923.43</v>
      </c>
      <c r="O666" s="1">
        <v>1.1200000000000001</v>
      </c>
      <c r="P666" s="2" t="s">
        <v>73</v>
      </c>
      <c r="Q666" s="13" t="s">
        <v>22</v>
      </c>
    </row>
    <row r="667" spans="1:17" x14ac:dyDescent="0.45">
      <c r="A667" s="10">
        <v>46050</v>
      </c>
      <c r="B667" s="1" t="s">
        <v>738</v>
      </c>
      <c r="C667" s="1" t="s">
        <v>67</v>
      </c>
      <c r="D667" s="1" t="s">
        <v>21</v>
      </c>
      <c r="E667" s="1" t="s">
        <v>50</v>
      </c>
      <c r="F667" s="1" t="s">
        <v>51</v>
      </c>
      <c r="G667" s="1" t="s">
        <v>20</v>
      </c>
      <c r="H667" s="1" t="s">
        <v>23</v>
      </c>
      <c r="I667" s="1">
        <v>21</v>
      </c>
      <c r="J667" s="1">
        <v>180</v>
      </c>
      <c r="K667" s="1">
        <v>0.04</v>
      </c>
      <c r="L667" s="1">
        <v>3780</v>
      </c>
      <c r="M667" s="1">
        <v>3628.8</v>
      </c>
      <c r="N667" s="1">
        <v>2906.61</v>
      </c>
      <c r="O667" s="1">
        <v>1.25</v>
      </c>
      <c r="P667" s="2" t="s">
        <v>52</v>
      </c>
      <c r="Q667" s="14" t="s">
        <v>16</v>
      </c>
    </row>
    <row r="668" spans="1:17" x14ac:dyDescent="0.45">
      <c r="A668" s="10">
        <v>46126</v>
      </c>
      <c r="B668" s="1" t="s">
        <v>739</v>
      </c>
      <c r="C668" s="1" t="s">
        <v>64</v>
      </c>
      <c r="D668" s="1" t="s">
        <v>25</v>
      </c>
      <c r="E668" s="1" t="s">
        <v>98</v>
      </c>
      <c r="F668" s="1" t="s">
        <v>71</v>
      </c>
      <c r="G668" s="1" t="s">
        <v>14</v>
      </c>
      <c r="H668" s="1" t="s">
        <v>27</v>
      </c>
      <c r="I668" s="1">
        <v>7</v>
      </c>
      <c r="J668" s="1">
        <v>120</v>
      </c>
      <c r="K668" s="1">
        <v>0</v>
      </c>
      <c r="L668" s="1">
        <v>840</v>
      </c>
      <c r="M668" s="1">
        <v>840</v>
      </c>
      <c r="N668" s="1">
        <v>837.18</v>
      </c>
      <c r="O668" s="1">
        <v>1</v>
      </c>
      <c r="P668" s="2" t="s">
        <v>52</v>
      </c>
      <c r="Q668" s="13" t="s">
        <v>29</v>
      </c>
    </row>
    <row r="669" spans="1:17" x14ac:dyDescent="0.45">
      <c r="A669" s="10">
        <v>46069</v>
      </c>
      <c r="B669" s="1" t="s">
        <v>740</v>
      </c>
      <c r="C669" s="1" t="s">
        <v>54</v>
      </c>
      <c r="D669" s="1" t="s">
        <v>21</v>
      </c>
      <c r="E669" s="1" t="s">
        <v>80</v>
      </c>
      <c r="F669" s="1" t="s">
        <v>60</v>
      </c>
      <c r="G669" s="1" t="s">
        <v>20</v>
      </c>
      <c r="H669" s="1" t="s">
        <v>23</v>
      </c>
      <c r="I669" s="1">
        <v>17</v>
      </c>
      <c r="J669" s="1">
        <v>180</v>
      </c>
      <c r="K669" s="1">
        <v>0.03</v>
      </c>
      <c r="L669" s="1">
        <v>3060</v>
      </c>
      <c r="M669" s="1">
        <v>2968.2</v>
      </c>
      <c r="N669" s="1">
        <v>3043.37</v>
      </c>
      <c r="O669" s="1">
        <v>0.98</v>
      </c>
      <c r="P669" s="2" t="s">
        <v>73</v>
      </c>
      <c r="Q669" s="14" t="s">
        <v>22</v>
      </c>
    </row>
    <row r="670" spans="1:17" x14ac:dyDescent="0.45">
      <c r="A670" s="10">
        <v>46057</v>
      </c>
      <c r="B670" s="1" t="s">
        <v>741</v>
      </c>
      <c r="C670" s="1" t="s">
        <v>49</v>
      </c>
      <c r="D670" s="1" t="s">
        <v>15</v>
      </c>
      <c r="E670" s="1" t="s">
        <v>62</v>
      </c>
      <c r="F670" s="1" t="s">
        <v>95</v>
      </c>
      <c r="G670" s="1" t="s">
        <v>14</v>
      </c>
      <c r="H670" s="1" t="s">
        <v>27</v>
      </c>
      <c r="I670" s="1">
        <v>124</v>
      </c>
      <c r="J670" s="1">
        <v>120</v>
      </c>
      <c r="K670" s="1">
        <v>0.09</v>
      </c>
      <c r="L670" s="1">
        <v>14880</v>
      </c>
      <c r="M670" s="1">
        <v>13540.8</v>
      </c>
      <c r="N670" s="1">
        <v>14692.16</v>
      </c>
      <c r="O670" s="1">
        <v>0.92</v>
      </c>
      <c r="P670" s="2" t="s">
        <v>73</v>
      </c>
      <c r="Q670" s="13" t="s">
        <v>22</v>
      </c>
    </row>
    <row r="671" spans="1:17" x14ac:dyDescent="0.45">
      <c r="A671" s="10">
        <v>46079</v>
      </c>
      <c r="B671" s="1" t="s">
        <v>742</v>
      </c>
      <c r="C671" s="1" t="s">
        <v>54</v>
      </c>
      <c r="D671" s="1" t="s">
        <v>25</v>
      </c>
      <c r="E671" s="1" t="s">
        <v>68</v>
      </c>
      <c r="F671" s="1" t="s">
        <v>78</v>
      </c>
      <c r="G671" s="1" t="s">
        <v>14</v>
      </c>
      <c r="H671" s="1" t="s">
        <v>27</v>
      </c>
      <c r="I671" s="1">
        <v>168</v>
      </c>
      <c r="J671" s="1">
        <v>120</v>
      </c>
      <c r="K671" s="1">
        <v>0.01</v>
      </c>
      <c r="L671" s="1">
        <v>20160</v>
      </c>
      <c r="M671" s="1">
        <v>19958.400000000001</v>
      </c>
      <c r="N671" s="1">
        <v>16266.6</v>
      </c>
      <c r="O671" s="1">
        <v>1.23</v>
      </c>
      <c r="P671" s="2" t="s">
        <v>73</v>
      </c>
      <c r="Q671" s="14" t="s">
        <v>22</v>
      </c>
    </row>
    <row r="672" spans="1:17" x14ac:dyDescent="0.45">
      <c r="A672" s="10">
        <v>46200</v>
      </c>
      <c r="B672" s="1" t="s">
        <v>743</v>
      </c>
      <c r="C672" s="1" t="s">
        <v>64</v>
      </c>
      <c r="D672" s="1" t="s">
        <v>25</v>
      </c>
      <c r="E672" s="1" t="s">
        <v>98</v>
      </c>
      <c r="F672" s="1" t="s">
        <v>56</v>
      </c>
      <c r="G672" s="1" t="s">
        <v>20</v>
      </c>
      <c r="H672" s="1" t="s">
        <v>23</v>
      </c>
      <c r="I672" s="1">
        <v>19</v>
      </c>
      <c r="J672" s="1">
        <v>180</v>
      </c>
      <c r="K672" s="1">
        <v>0.01</v>
      </c>
      <c r="L672" s="1">
        <v>3420</v>
      </c>
      <c r="M672" s="1">
        <v>3385.8</v>
      </c>
      <c r="N672" s="1">
        <v>3558.85</v>
      </c>
      <c r="O672" s="1">
        <v>0.95</v>
      </c>
      <c r="P672" s="2" t="s">
        <v>73</v>
      </c>
      <c r="Q672" s="13" t="s">
        <v>34</v>
      </c>
    </row>
    <row r="673" spans="1:17" x14ac:dyDescent="0.45">
      <c r="A673" s="10">
        <v>46048</v>
      </c>
      <c r="B673" s="1" t="s">
        <v>744</v>
      </c>
      <c r="C673" s="1" t="s">
        <v>49</v>
      </c>
      <c r="D673" s="1" t="s">
        <v>21</v>
      </c>
      <c r="E673" s="1" t="s">
        <v>50</v>
      </c>
      <c r="F673" s="1" t="s">
        <v>51</v>
      </c>
      <c r="G673" s="1" t="s">
        <v>24</v>
      </c>
      <c r="H673" s="1" t="s">
        <v>30</v>
      </c>
      <c r="I673" s="1">
        <v>29</v>
      </c>
      <c r="J673" s="1">
        <v>40</v>
      </c>
      <c r="K673" s="1">
        <v>0.14000000000000001</v>
      </c>
      <c r="L673" s="1">
        <v>1160</v>
      </c>
      <c r="M673" s="1">
        <v>997.6</v>
      </c>
      <c r="N673" s="1">
        <v>981.83</v>
      </c>
      <c r="O673" s="1">
        <v>1.02</v>
      </c>
      <c r="P673" s="2" t="s">
        <v>73</v>
      </c>
      <c r="Q673" s="14" t="s">
        <v>16</v>
      </c>
    </row>
    <row r="674" spans="1:17" x14ac:dyDescent="0.45">
      <c r="A674" s="10">
        <v>46124</v>
      </c>
      <c r="B674" s="1" t="s">
        <v>745</v>
      </c>
      <c r="C674" s="1" t="s">
        <v>67</v>
      </c>
      <c r="D674" s="1" t="s">
        <v>25</v>
      </c>
      <c r="E674" s="1" t="s">
        <v>104</v>
      </c>
      <c r="F674" s="1" t="s">
        <v>78</v>
      </c>
      <c r="G674" s="1" t="s">
        <v>14</v>
      </c>
      <c r="H674" s="1" t="s">
        <v>18</v>
      </c>
      <c r="I674" s="1">
        <v>57</v>
      </c>
      <c r="J674" s="1">
        <v>250</v>
      </c>
      <c r="K674" s="1">
        <v>0</v>
      </c>
      <c r="L674" s="1">
        <v>14250</v>
      </c>
      <c r="M674" s="1">
        <v>14250</v>
      </c>
      <c r="N674" s="1">
        <v>12544.83</v>
      </c>
      <c r="O674" s="1">
        <v>1.1399999999999999</v>
      </c>
      <c r="P674" s="2" t="s">
        <v>52</v>
      </c>
      <c r="Q674" s="13" t="s">
        <v>29</v>
      </c>
    </row>
    <row r="675" spans="1:17" x14ac:dyDescent="0.45">
      <c r="A675" s="10">
        <v>46192</v>
      </c>
      <c r="B675" s="1" t="s">
        <v>746</v>
      </c>
      <c r="C675" s="1" t="s">
        <v>75</v>
      </c>
      <c r="D675" s="1" t="s">
        <v>28</v>
      </c>
      <c r="E675" s="1" t="s">
        <v>65</v>
      </c>
      <c r="F675" s="1" t="s">
        <v>56</v>
      </c>
      <c r="G675" s="1" t="s">
        <v>14</v>
      </c>
      <c r="H675" s="1" t="s">
        <v>18</v>
      </c>
      <c r="I675" s="1">
        <v>75</v>
      </c>
      <c r="J675" s="1">
        <v>250</v>
      </c>
      <c r="K675" s="1">
        <v>0.14000000000000001</v>
      </c>
      <c r="L675" s="1">
        <v>18750</v>
      </c>
      <c r="M675" s="1">
        <v>16125</v>
      </c>
      <c r="N675" s="1">
        <v>18930.16</v>
      </c>
      <c r="O675" s="1">
        <v>0.85</v>
      </c>
      <c r="P675" s="2" t="s">
        <v>73</v>
      </c>
      <c r="Q675" s="14" t="s">
        <v>34</v>
      </c>
    </row>
    <row r="676" spans="1:17" x14ac:dyDescent="0.45">
      <c r="A676" s="10">
        <v>46202</v>
      </c>
      <c r="B676" s="1" t="s">
        <v>747</v>
      </c>
      <c r="C676" s="1" t="s">
        <v>58</v>
      </c>
      <c r="D676" s="1" t="s">
        <v>21</v>
      </c>
      <c r="E676" s="1" t="s">
        <v>80</v>
      </c>
      <c r="F676" s="1" t="s">
        <v>95</v>
      </c>
      <c r="G676" s="1" t="s">
        <v>24</v>
      </c>
      <c r="H676" s="1" t="s">
        <v>30</v>
      </c>
      <c r="I676" s="1">
        <v>75</v>
      </c>
      <c r="J676" s="1">
        <v>40</v>
      </c>
      <c r="K676" s="1">
        <v>0.1</v>
      </c>
      <c r="L676" s="1">
        <v>3000</v>
      </c>
      <c r="M676" s="1">
        <v>2700</v>
      </c>
      <c r="N676" s="1">
        <v>3142.96</v>
      </c>
      <c r="O676" s="1">
        <v>0.86</v>
      </c>
      <c r="P676" s="2" t="s">
        <v>73</v>
      </c>
      <c r="Q676" s="13" t="s">
        <v>34</v>
      </c>
    </row>
    <row r="677" spans="1:17" x14ac:dyDescent="0.45">
      <c r="A677" s="10">
        <v>46199</v>
      </c>
      <c r="B677" s="1" t="s">
        <v>748</v>
      </c>
      <c r="C677" s="1" t="s">
        <v>64</v>
      </c>
      <c r="D677" s="1" t="s">
        <v>28</v>
      </c>
      <c r="E677" s="1" t="s">
        <v>82</v>
      </c>
      <c r="F677" s="1" t="s">
        <v>56</v>
      </c>
      <c r="G677" s="1" t="s">
        <v>24</v>
      </c>
      <c r="H677" s="1" t="s">
        <v>30</v>
      </c>
      <c r="I677" s="1">
        <v>18</v>
      </c>
      <c r="J677" s="1">
        <v>40</v>
      </c>
      <c r="K677" s="1">
        <v>0.09</v>
      </c>
      <c r="L677" s="1">
        <v>720</v>
      </c>
      <c r="M677" s="1">
        <v>655.20000000000005</v>
      </c>
      <c r="N677" s="1">
        <v>746.28</v>
      </c>
      <c r="O677" s="1">
        <v>0.88</v>
      </c>
      <c r="P677" s="2" t="s">
        <v>52</v>
      </c>
      <c r="Q677" s="14" t="s">
        <v>34</v>
      </c>
    </row>
    <row r="678" spans="1:17" x14ac:dyDescent="0.45">
      <c r="A678" s="10">
        <v>46174</v>
      </c>
      <c r="B678" s="1" t="s">
        <v>749</v>
      </c>
      <c r="C678" s="1" t="s">
        <v>64</v>
      </c>
      <c r="D678" s="1" t="s">
        <v>28</v>
      </c>
      <c r="E678" s="1" t="s">
        <v>82</v>
      </c>
      <c r="F678" s="1" t="s">
        <v>51</v>
      </c>
      <c r="G678" s="1" t="s">
        <v>20</v>
      </c>
      <c r="H678" s="1" t="s">
        <v>33</v>
      </c>
      <c r="I678" s="1">
        <v>112</v>
      </c>
      <c r="J678" s="1">
        <v>35</v>
      </c>
      <c r="K678" s="1">
        <v>0.09</v>
      </c>
      <c r="L678" s="1">
        <v>3920</v>
      </c>
      <c r="M678" s="1">
        <v>3567.2</v>
      </c>
      <c r="N678" s="1">
        <v>4227.63</v>
      </c>
      <c r="O678" s="1">
        <v>0.84</v>
      </c>
      <c r="P678" s="2" t="s">
        <v>52</v>
      </c>
      <c r="Q678" s="13" t="s">
        <v>34</v>
      </c>
    </row>
    <row r="679" spans="1:17" x14ac:dyDescent="0.45">
      <c r="A679" s="10">
        <v>46156</v>
      </c>
      <c r="B679" s="1" t="s">
        <v>750</v>
      </c>
      <c r="C679" s="1" t="s">
        <v>75</v>
      </c>
      <c r="D679" s="1" t="s">
        <v>28</v>
      </c>
      <c r="E679" s="1" t="s">
        <v>59</v>
      </c>
      <c r="F679" s="1" t="s">
        <v>71</v>
      </c>
      <c r="G679" s="1" t="s">
        <v>14</v>
      </c>
      <c r="H679" s="1" t="s">
        <v>18</v>
      </c>
      <c r="I679" s="1">
        <v>21</v>
      </c>
      <c r="J679" s="1">
        <v>250</v>
      </c>
      <c r="K679" s="1">
        <v>0.08</v>
      </c>
      <c r="L679" s="1">
        <v>5250</v>
      </c>
      <c r="M679" s="1">
        <v>4830</v>
      </c>
      <c r="N679" s="1">
        <v>5490.47</v>
      </c>
      <c r="O679" s="1">
        <v>0.88</v>
      </c>
      <c r="P679" s="2" t="s">
        <v>73</v>
      </c>
      <c r="Q679" s="14" t="s">
        <v>32</v>
      </c>
    </row>
    <row r="680" spans="1:17" x14ac:dyDescent="0.45">
      <c r="A680" s="10">
        <v>46094</v>
      </c>
      <c r="B680" s="1" t="s">
        <v>751</v>
      </c>
      <c r="C680" s="1" t="s">
        <v>54</v>
      </c>
      <c r="D680" s="1" t="s">
        <v>21</v>
      </c>
      <c r="E680" s="1" t="s">
        <v>50</v>
      </c>
      <c r="F680" s="1" t="s">
        <v>60</v>
      </c>
      <c r="G680" s="1" t="s">
        <v>24</v>
      </c>
      <c r="H680" s="1" t="s">
        <v>35</v>
      </c>
      <c r="I680" s="1">
        <v>82</v>
      </c>
      <c r="J680" s="1">
        <v>30</v>
      </c>
      <c r="K680" s="1">
        <v>0.1</v>
      </c>
      <c r="L680" s="1">
        <v>2460</v>
      </c>
      <c r="M680" s="1">
        <v>2214</v>
      </c>
      <c r="N680" s="1">
        <v>2532.84</v>
      </c>
      <c r="O680" s="1">
        <v>0.87</v>
      </c>
      <c r="P680" s="2" t="s">
        <v>73</v>
      </c>
      <c r="Q680" s="13" t="s">
        <v>26</v>
      </c>
    </row>
    <row r="681" spans="1:17" x14ac:dyDescent="0.45">
      <c r="A681" s="10">
        <v>46143</v>
      </c>
      <c r="B681" s="1" t="s">
        <v>752</v>
      </c>
      <c r="C681" s="1" t="s">
        <v>58</v>
      </c>
      <c r="D681" s="1" t="s">
        <v>25</v>
      </c>
      <c r="E681" s="1" t="s">
        <v>98</v>
      </c>
      <c r="F681" s="1" t="s">
        <v>56</v>
      </c>
      <c r="G681" s="1" t="s">
        <v>20</v>
      </c>
      <c r="H681" s="1" t="s">
        <v>23</v>
      </c>
      <c r="I681" s="1">
        <v>52</v>
      </c>
      <c r="J681" s="1">
        <v>180</v>
      </c>
      <c r="K681" s="1">
        <v>0.04</v>
      </c>
      <c r="L681" s="1">
        <v>9360</v>
      </c>
      <c r="M681" s="1">
        <v>8985.6</v>
      </c>
      <c r="N681" s="1">
        <v>10293.280000000001</v>
      </c>
      <c r="O681" s="1">
        <v>0.87</v>
      </c>
      <c r="P681" s="2" t="s">
        <v>52</v>
      </c>
      <c r="Q681" s="14" t="s">
        <v>32</v>
      </c>
    </row>
    <row r="682" spans="1:17" x14ac:dyDescent="0.45">
      <c r="A682" s="10">
        <v>46025</v>
      </c>
      <c r="B682" s="1" t="s">
        <v>753</v>
      </c>
      <c r="C682" s="1" t="s">
        <v>64</v>
      </c>
      <c r="D682" s="1" t="s">
        <v>28</v>
      </c>
      <c r="E682" s="1" t="s">
        <v>59</v>
      </c>
      <c r="F682" s="1" t="s">
        <v>51</v>
      </c>
      <c r="G682" s="1" t="s">
        <v>14</v>
      </c>
      <c r="H682" s="1" t="s">
        <v>18</v>
      </c>
      <c r="I682" s="1">
        <v>140</v>
      </c>
      <c r="J682" s="1">
        <v>250</v>
      </c>
      <c r="K682" s="1">
        <v>0</v>
      </c>
      <c r="L682" s="1">
        <v>35000</v>
      </c>
      <c r="M682" s="1">
        <v>35000</v>
      </c>
      <c r="N682" s="1">
        <v>41240.620000000003</v>
      </c>
      <c r="O682" s="1">
        <v>0.85</v>
      </c>
      <c r="P682" s="2" t="s">
        <v>52</v>
      </c>
      <c r="Q682" s="13" t="s">
        <v>16</v>
      </c>
    </row>
    <row r="683" spans="1:17" x14ac:dyDescent="0.45">
      <c r="A683" s="10">
        <v>46095</v>
      </c>
      <c r="B683" s="1" t="s">
        <v>754</v>
      </c>
      <c r="C683" s="1" t="s">
        <v>58</v>
      </c>
      <c r="D683" s="1" t="s">
        <v>15</v>
      </c>
      <c r="E683" s="1" t="s">
        <v>55</v>
      </c>
      <c r="F683" s="1" t="s">
        <v>71</v>
      </c>
      <c r="G683" s="1" t="s">
        <v>24</v>
      </c>
      <c r="H683" s="1" t="s">
        <v>30</v>
      </c>
      <c r="I683" s="1">
        <v>113</v>
      </c>
      <c r="J683" s="1">
        <v>40</v>
      </c>
      <c r="K683" s="1">
        <v>0.04</v>
      </c>
      <c r="L683" s="1">
        <v>4520</v>
      </c>
      <c r="M683" s="1">
        <v>4339.2</v>
      </c>
      <c r="N683" s="1">
        <v>4162.3599999999997</v>
      </c>
      <c r="O683" s="1">
        <v>1.04</v>
      </c>
      <c r="P683" s="2" t="s">
        <v>52</v>
      </c>
      <c r="Q683" s="14" t="s">
        <v>26</v>
      </c>
    </row>
    <row r="684" spans="1:17" x14ac:dyDescent="0.45">
      <c r="A684" s="10">
        <v>46199</v>
      </c>
      <c r="B684" s="1" t="s">
        <v>755</v>
      </c>
      <c r="C684" s="1" t="s">
        <v>49</v>
      </c>
      <c r="D684" s="1" t="s">
        <v>15</v>
      </c>
      <c r="E684" s="1" t="s">
        <v>62</v>
      </c>
      <c r="F684" s="1" t="s">
        <v>56</v>
      </c>
      <c r="G684" s="1" t="s">
        <v>24</v>
      </c>
      <c r="H684" s="1" t="s">
        <v>30</v>
      </c>
      <c r="I684" s="1">
        <v>170</v>
      </c>
      <c r="J684" s="1">
        <v>40</v>
      </c>
      <c r="K684" s="1">
        <v>0.06</v>
      </c>
      <c r="L684" s="1">
        <v>6800</v>
      </c>
      <c r="M684" s="1">
        <v>6392</v>
      </c>
      <c r="N684" s="1">
        <v>6948.61</v>
      </c>
      <c r="O684" s="1">
        <v>0.92</v>
      </c>
      <c r="P684" s="2" t="s">
        <v>52</v>
      </c>
      <c r="Q684" s="13" t="s">
        <v>34</v>
      </c>
    </row>
    <row r="685" spans="1:17" x14ac:dyDescent="0.45">
      <c r="A685" s="10">
        <v>46093</v>
      </c>
      <c r="B685" s="1" t="s">
        <v>756</v>
      </c>
      <c r="C685" s="1" t="s">
        <v>58</v>
      </c>
      <c r="D685" s="1" t="s">
        <v>28</v>
      </c>
      <c r="E685" s="1" t="s">
        <v>59</v>
      </c>
      <c r="F685" s="1" t="s">
        <v>78</v>
      </c>
      <c r="G685" s="1" t="s">
        <v>24</v>
      </c>
      <c r="H685" s="1" t="s">
        <v>35</v>
      </c>
      <c r="I685" s="1">
        <v>140</v>
      </c>
      <c r="J685" s="1">
        <v>30</v>
      </c>
      <c r="K685" s="1">
        <v>0.14000000000000001</v>
      </c>
      <c r="L685" s="1">
        <v>4200</v>
      </c>
      <c r="M685" s="1">
        <v>3612</v>
      </c>
      <c r="N685" s="1">
        <v>3687.86</v>
      </c>
      <c r="O685" s="1">
        <v>0.98</v>
      </c>
      <c r="P685" s="2" t="s">
        <v>52</v>
      </c>
      <c r="Q685" s="14" t="s">
        <v>26</v>
      </c>
    </row>
    <row r="686" spans="1:17" x14ac:dyDescent="0.45">
      <c r="A686" s="10">
        <v>46152</v>
      </c>
      <c r="B686" s="1" t="s">
        <v>757</v>
      </c>
      <c r="C686" s="1" t="s">
        <v>58</v>
      </c>
      <c r="D686" s="1" t="s">
        <v>25</v>
      </c>
      <c r="E686" s="1" t="s">
        <v>98</v>
      </c>
      <c r="F686" s="1" t="s">
        <v>71</v>
      </c>
      <c r="G686" s="1" t="s">
        <v>20</v>
      </c>
      <c r="H686" s="1" t="s">
        <v>23</v>
      </c>
      <c r="I686" s="1">
        <v>77</v>
      </c>
      <c r="J686" s="1">
        <v>180</v>
      </c>
      <c r="K686" s="1">
        <v>0.05</v>
      </c>
      <c r="L686" s="1">
        <v>13860</v>
      </c>
      <c r="M686" s="1">
        <v>13167</v>
      </c>
      <c r="N686" s="1">
        <v>12922</v>
      </c>
      <c r="O686" s="1">
        <v>1.02</v>
      </c>
      <c r="P686" s="2" t="s">
        <v>52</v>
      </c>
      <c r="Q686" s="13" t="s">
        <v>32</v>
      </c>
    </row>
    <row r="687" spans="1:17" x14ac:dyDescent="0.45">
      <c r="A687" s="10">
        <v>46060</v>
      </c>
      <c r="B687" s="1" t="s">
        <v>758</v>
      </c>
      <c r="C687" s="1" t="s">
        <v>58</v>
      </c>
      <c r="D687" s="1" t="s">
        <v>25</v>
      </c>
      <c r="E687" s="1" t="s">
        <v>98</v>
      </c>
      <c r="F687" s="1" t="s">
        <v>56</v>
      </c>
      <c r="G687" s="1" t="s">
        <v>14</v>
      </c>
      <c r="H687" s="1" t="s">
        <v>27</v>
      </c>
      <c r="I687" s="1">
        <v>169</v>
      </c>
      <c r="J687" s="1">
        <v>120</v>
      </c>
      <c r="K687" s="1">
        <v>0.13</v>
      </c>
      <c r="L687" s="1">
        <v>20280</v>
      </c>
      <c r="M687" s="1">
        <v>17643.599999999999</v>
      </c>
      <c r="N687" s="1">
        <v>19562.63</v>
      </c>
      <c r="O687" s="1">
        <v>0.9</v>
      </c>
      <c r="P687" s="2" t="s">
        <v>73</v>
      </c>
      <c r="Q687" s="14" t="s">
        <v>22</v>
      </c>
    </row>
    <row r="688" spans="1:17" x14ac:dyDescent="0.45">
      <c r="A688" s="10">
        <v>46133</v>
      </c>
      <c r="B688" s="1" t="s">
        <v>759</v>
      </c>
      <c r="C688" s="1" t="s">
        <v>49</v>
      </c>
      <c r="D688" s="1" t="s">
        <v>15</v>
      </c>
      <c r="E688" s="1" t="s">
        <v>62</v>
      </c>
      <c r="F688" s="1" t="s">
        <v>56</v>
      </c>
      <c r="G688" s="1" t="s">
        <v>14</v>
      </c>
      <c r="H688" s="1" t="s">
        <v>18</v>
      </c>
      <c r="I688" s="1">
        <v>159</v>
      </c>
      <c r="J688" s="1">
        <v>250</v>
      </c>
      <c r="K688" s="1">
        <v>0.13</v>
      </c>
      <c r="L688" s="1">
        <v>39750</v>
      </c>
      <c r="M688" s="1">
        <v>34582.5</v>
      </c>
      <c r="N688" s="1">
        <v>40203</v>
      </c>
      <c r="O688" s="1">
        <v>0.86</v>
      </c>
      <c r="P688" s="2" t="s">
        <v>73</v>
      </c>
      <c r="Q688" s="13" t="s">
        <v>29</v>
      </c>
    </row>
    <row r="689" spans="1:17" x14ac:dyDescent="0.45">
      <c r="A689" s="10">
        <v>46086</v>
      </c>
      <c r="B689" s="1" t="s">
        <v>760</v>
      </c>
      <c r="C689" s="1" t="s">
        <v>58</v>
      </c>
      <c r="D689" s="1" t="s">
        <v>21</v>
      </c>
      <c r="E689" s="1" t="s">
        <v>80</v>
      </c>
      <c r="F689" s="1" t="s">
        <v>95</v>
      </c>
      <c r="G689" s="1" t="s">
        <v>20</v>
      </c>
      <c r="H689" s="1" t="s">
        <v>33</v>
      </c>
      <c r="I689" s="1">
        <v>173</v>
      </c>
      <c r="J689" s="1">
        <v>35</v>
      </c>
      <c r="K689" s="1">
        <v>0.12</v>
      </c>
      <c r="L689" s="1">
        <v>6055</v>
      </c>
      <c r="M689" s="1">
        <v>5328.4</v>
      </c>
      <c r="N689" s="1">
        <v>4804.91</v>
      </c>
      <c r="O689" s="1">
        <v>1.1100000000000001</v>
      </c>
      <c r="P689" s="2" t="s">
        <v>52</v>
      </c>
      <c r="Q689" s="14" t="s">
        <v>26</v>
      </c>
    </row>
    <row r="690" spans="1:17" x14ac:dyDescent="0.45">
      <c r="A690" s="10">
        <v>46039</v>
      </c>
      <c r="B690" s="1" t="s">
        <v>761</v>
      </c>
      <c r="C690" s="1" t="s">
        <v>49</v>
      </c>
      <c r="D690" s="1" t="s">
        <v>28</v>
      </c>
      <c r="E690" s="1" t="s">
        <v>82</v>
      </c>
      <c r="F690" s="1" t="s">
        <v>56</v>
      </c>
      <c r="G690" s="1" t="s">
        <v>20</v>
      </c>
      <c r="H690" s="1" t="s">
        <v>33</v>
      </c>
      <c r="I690" s="1">
        <v>61</v>
      </c>
      <c r="J690" s="1">
        <v>35</v>
      </c>
      <c r="K690" s="1">
        <v>0.02</v>
      </c>
      <c r="L690" s="1">
        <v>2135</v>
      </c>
      <c r="M690" s="1">
        <v>2092.3000000000002</v>
      </c>
      <c r="N690" s="1">
        <v>2252.91</v>
      </c>
      <c r="O690" s="1">
        <v>0.93</v>
      </c>
      <c r="P690" s="2" t="s">
        <v>73</v>
      </c>
      <c r="Q690" s="13" t="s">
        <v>16</v>
      </c>
    </row>
    <row r="691" spans="1:17" x14ac:dyDescent="0.45">
      <c r="A691" s="10">
        <v>46092</v>
      </c>
      <c r="B691" s="1" t="s">
        <v>762</v>
      </c>
      <c r="C691" s="1" t="s">
        <v>54</v>
      </c>
      <c r="D691" s="1" t="s">
        <v>21</v>
      </c>
      <c r="E691" s="1" t="s">
        <v>80</v>
      </c>
      <c r="F691" s="1" t="s">
        <v>71</v>
      </c>
      <c r="G691" s="1" t="s">
        <v>20</v>
      </c>
      <c r="H691" s="1" t="s">
        <v>33</v>
      </c>
      <c r="I691" s="1">
        <v>31</v>
      </c>
      <c r="J691" s="1">
        <v>35</v>
      </c>
      <c r="K691" s="1">
        <v>0.11</v>
      </c>
      <c r="L691" s="1">
        <v>1085</v>
      </c>
      <c r="M691" s="1">
        <v>965.65</v>
      </c>
      <c r="N691" s="1">
        <v>798.94</v>
      </c>
      <c r="O691" s="1">
        <v>1.21</v>
      </c>
      <c r="P691" s="2" t="s">
        <v>52</v>
      </c>
      <c r="Q691" s="14" t="s">
        <v>26</v>
      </c>
    </row>
    <row r="692" spans="1:17" x14ac:dyDescent="0.45">
      <c r="A692" s="10">
        <v>46171</v>
      </c>
      <c r="B692" s="1" t="s">
        <v>763</v>
      </c>
      <c r="C692" s="1" t="s">
        <v>75</v>
      </c>
      <c r="D692" s="1" t="s">
        <v>21</v>
      </c>
      <c r="E692" s="1" t="s">
        <v>50</v>
      </c>
      <c r="F692" s="1" t="s">
        <v>51</v>
      </c>
      <c r="G692" s="1" t="s">
        <v>20</v>
      </c>
      <c r="H692" s="1" t="s">
        <v>33</v>
      </c>
      <c r="I692" s="1">
        <v>128</v>
      </c>
      <c r="J692" s="1">
        <v>35</v>
      </c>
      <c r="K692" s="1">
        <v>0.12</v>
      </c>
      <c r="L692" s="1">
        <v>4480</v>
      </c>
      <c r="M692" s="1">
        <v>3942.4</v>
      </c>
      <c r="N692" s="1">
        <v>3337.5</v>
      </c>
      <c r="O692" s="1">
        <v>1.18</v>
      </c>
      <c r="P692" s="2" t="s">
        <v>52</v>
      </c>
      <c r="Q692" s="13" t="s">
        <v>32</v>
      </c>
    </row>
    <row r="693" spans="1:17" x14ac:dyDescent="0.45">
      <c r="A693" s="10">
        <v>46078</v>
      </c>
      <c r="B693" s="1" t="s">
        <v>764</v>
      </c>
      <c r="C693" s="1" t="s">
        <v>49</v>
      </c>
      <c r="D693" s="1" t="s">
        <v>28</v>
      </c>
      <c r="E693" s="1" t="s">
        <v>82</v>
      </c>
      <c r="F693" s="1" t="s">
        <v>60</v>
      </c>
      <c r="G693" s="1" t="s">
        <v>24</v>
      </c>
      <c r="H693" s="1" t="s">
        <v>35</v>
      </c>
      <c r="I693" s="1">
        <v>116</v>
      </c>
      <c r="J693" s="1">
        <v>30</v>
      </c>
      <c r="K693" s="1">
        <v>0.01</v>
      </c>
      <c r="L693" s="1">
        <v>3480</v>
      </c>
      <c r="M693" s="1">
        <v>3445.2</v>
      </c>
      <c r="N693" s="1">
        <v>4001.8</v>
      </c>
      <c r="O693" s="1">
        <v>0.86</v>
      </c>
      <c r="P693" s="2" t="s">
        <v>52</v>
      </c>
      <c r="Q693" s="14" t="s">
        <v>22</v>
      </c>
    </row>
    <row r="694" spans="1:17" x14ac:dyDescent="0.45">
      <c r="A694" s="10">
        <v>46062</v>
      </c>
      <c r="B694" s="1" t="s">
        <v>765</v>
      </c>
      <c r="C694" s="1" t="s">
        <v>67</v>
      </c>
      <c r="D694" s="1" t="s">
        <v>28</v>
      </c>
      <c r="E694" s="1" t="s">
        <v>70</v>
      </c>
      <c r="F694" s="1" t="s">
        <v>95</v>
      </c>
      <c r="G694" s="1" t="s">
        <v>14</v>
      </c>
      <c r="H694" s="1" t="s">
        <v>18</v>
      </c>
      <c r="I694" s="1">
        <v>181</v>
      </c>
      <c r="J694" s="1">
        <v>250</v>
      </c>
      <c r="K694" s="1">
        <v>0.12</v>
      </c>
      <c r="L694" s="1">
        <v>45250</v>
      </c>
      <c r="M694" s="1">
        <v>39820</v>
      </c>
      <c r="N694" s="1">
        <v>35961.58</v>
      </c>
      <c r="O694" s="1">
        <v>1.1100000000000001</v>
      </c>
      <c r="P694" s="2" t="s">
        <v>73</v>
      </c>
      <c r="Q694" s="13" t="s">
        <v>22</v>
      </c>
    </row>
    <row r="695" spans="1:17" x14ac:dyDescent="0.45">
      <c r="A695" s="10">
        <v>46133</v>
      </c>
      <c r="B695" s="1" t="s">
        <v>766</v>
      </c>
      <c r="C695" s="1" t="s">
        <v>64</v>
      </c>
      <c r="D695" s="1" t="s">
        <v>28</v>
      </c>
      <c r="E695" s="1" t="s">
        <v>65</v>
      </c>
      <c r="F695" s="1" t="s">
        <v>71</v>
      </c>
      <c r="G695" s="1" t="s">
        <v>24</v>
      </c>
      <c r="H695" s="1" t="s">
        <v>30</v>
      </c>
      <c r="I695" s="1">
        <v>88</v>
      </c>
      <c r="J695" s="1">
        <v>40</v>
      </c>
      <c r="K695" s="1">
        <v>0.1</v>
      </c>
      <c r="L695" s="1">
        <v>3520</v>
      </c>
      <c r="M695" s="1">
        <v>3168</v>
      </c>
      <c r="N695" s="1">
        <v>3327.3</v>
      </c>
      <c r="O695" s="1">
        <v>0.95</v>
      </c>
      <c r="P695" s="2" t="s">
        <v>52</v>
      </c>
      <c r="Q695" s="14" t="s">
        <v>29</v>
      </c>
    </row>
    <row r="696" spans="1:17" x14ac:dyDescent="0.45">
      <c r="A696" s="10">
        <v>46081</v>
      </c>
      <c r="B696" s="1" t="s">
        <v>767</v>
      </c>
      <c r="C696" s="1" t="s">
        <v>75</v>
      </c>
      <c r="D696" s="1" t="s">
        <v>25</v>
      </c>
      <c r="E696" s="1" t="s">
        <v>104</v>
      </c>
      <c r="F696" s="1" t="s">
        <v>60</v>
      </c>
      <c r="G696" s="1" t="s">
        <v>24</v>
      </c>
      <c r="H696" s="1" t="s">
        <v>30</v>
      </c>
      <c r="I696" s="1">
        <v>119</v>
      </c>
      <c r="J696" s="1">
        <v>40</v>
      </c>
      <c r="K696" s="1">
        <v>0.03</v>
      </c>
      <c r="L696" s="1">
        <v>4760</v>
      </c>
      <c r="M696" s="1">
        <v>4617.2</v>
      </c>
      <c r="N696" s="1">
        <v>4369.22</v>
      </c>
      <c r="O696" s="1">
        <v>1.06</v>
      </c>
      <c r="P696" s="2" t="s">
        <v>73</v>
      </c>
      <c r="Q696" s="13" t="s">
        <v>22</v>
      </c>
    </row>
    <row r="697" spans="1:17" x14ac:dyDescent="0.45">
      <c r="A697" s="10">
        <v>46133</v>
      </c>
      <c r="B697" s="1" t="s">
        <v>768</v>
      </c>
      <c r="C697" s="1" t="s">
        <v>64</v>
      </c>
      <c r="D697" s="1" t="s">
        <v>25</v>
      </c>
      <c r="E697" s="1" t="s">
        <v>104</v>
      </c>
      <c r="F697" s="1" t="s">
        <v>95</v>
      </c>
      <c r="G697" s="1" t="s">
        <v>24</v>
      </c>
      <c r="H697" s="1" t="s">
        <v>35</v>
      </c>
      <c r="I697" s="1">
        <v>80</v>
      </c>
      <c r="J697" s="1">
        <v>30</v>
      </c>
      <c r="K697" s="1">
        <v>0.03</v>
      </c>
      <c r="L697" s="1">
        <v>2400</v>
      </c>
      <c r="M697" s="1">
        <v>2328</v>
      </c>
      <c r="N697" s="1">
        <v>2764.24</v>
      </c>
      <c r="O697" s="1">
        <v>0.84</v>
      </c>
      <c r="P697" s="2" t="s">
        <v>73</v>
      </c>
      <c r="Q697" s="14" t="s">
        <v>29</v>
      </c>
    </row>
    <row r="698" spans="1:17" x14ac:dyDescent="0.45">
      <c r="A698" s="10">
        <v>46200</v>
      </c>
      <c r="B698" s="1" t="s">
        <v>769</v>
      </c>
      <c r="C698" s="1" t="s">
        <v>64</v>
      </c>
      <c r="D698" s="1" t="s">
        <v>15</v>
      </c>
      <c r="E698" s="1" t="s">
        <v>55</v>
      </c>
      <c r="F698" s="1" t="s">
        <v>51</v>
      </c>
      <c r="G698" s="1" t="s">
        <v>20</v>
      </c>
      <c r="H698" s="1" t="s">
        <v>23</v>
      </c>
      <c r="I698" s="1">
        <v>25</v>
      </c>
      <c r="J698" s="1">
        <v>180</v>
      </c>
      <c r="K698" s="1">
        <v>0.12</v>
      </c>
      <c r="L698" s="1">
        <v>4500</v>
      </c>
      <c r="M698" s="1">
        <v>3960</v>
      </c>
      <c r="N698" s="1">
        <v>3217.22</v>
      </c>
      <c r="O698" s="1">
        <v>1.23</v>
      </c>
      <c r="P698" s="2" t="s">
        <v>73</v>
      </c>
      <c r="Q698" s="13" t="s">
        <v>34</v>
      </c>
    </row>
    <row r="699" spans="1:17" x14ac:dyDescent="0.45">
      <c r="A699" s="10">
        <v>46046</v>
      </c>
      <c r="B699" s="1" t="s">
        <v>770</v>
      </c>
      <c r="C699" s="1" t="s">
        <v>54</v>
      </c>
      <c r="D699" s="1" t="s">
        <v>28</v>
      </c>
      <c r="E699" s="1" t="s">
        <v>82</v>
      </c>
      <c r="F699" s="1" t="s">
        <v>71</v>
      </c>
      <c r="G699" s="1" t="s">
        <v>20</v>
      </c>
      <c r="H699" s="1" t="s">
        <v>23</v>
      </c>
      <c r="I699" s="1">
        <v>73</v>
      </c>
      <c r="J699" s="1">
        <v>180</v>
      </c>
      <c r="K699" s="1">
        <v>0.01</v>
      </c>
      <c r="L699" s="1">
        <v>13140</v>
      </c>
      <c r="M699" s="1">
        <v>13008.6</v>
      </c>
      <c r="N699" s="1">
        <v>11591.77</v>
      </c>
      <c r="O699" s="1">
        <v>1.1200000000000001</v>
      </c>
      <c r="P699" s="2" t="s">
        <v>52</v>
      </c>
      <c r="Q699" s="14" t="s">
        <v>16</v>
      </c>
    </row>
    <row r="700" spans="1:17" x14ac:dyDescent="0.45">
      <c r="A700" s="10">
        <v>46062</v>
      </c>
      <c r="B700" s="1" t="s">
        <v>771</v>
      </c>
      <c r="C700" s="1" t="s">
        <v>64</v>
      </c>
      <c r="D700" s="1" t="s">
        <v>28</v>
      </c>
      <c r="E700" s="1" t="s">
        <v>70</v>
      </c>
      <c r="F700" s="1" t="s">
        <v>71</v>
      </c>
      <c r="G700" s="1" t="s">
        <v>20</v>
      </c>
      <c r="H700" s="1" t="s">
        <v>23</v>
      </c>
      <c r="I700" s="1">
        <v>85</v>
      </c>
      <c r="J700" s="1">
        <v>180</v>
      </c>
      <c r="K700" s="1">
        <v>0.05</v>
      </c>
      <c r="L700" s="1">
        <v>15300</v>
      </c>
      <c r="M700" s="1">
        <v>14535</v>
      </c>
      <c r="N700" s="1">
        <v>15847.12</v>
      </c>
      <c r="O700" s="1">
        <v>0.92</v>
      </c>
      <c r="P700" s="2" t="s">
        <v>52</v>
      </c>
      <c r="Q700" s="13" t="s">
        <v>22</v>
      </c>
    </row>
    <row r="701" spans="1:17" x14ac:dyDescent="0.45">
      <c r="A701" s="10">
        <v>46027</v>
      </c>
      <c r="B701" s="1" t="s">
        <v>772</v>
      </c>
      <c r="C701" s="1" t="s">
        <v>64</v>
      </c>
      <c r="D701" s="1" t="s">
        <v>25</v>
      </c>
      <c r="E701" s="1" t="s">
        <v>98</v>
      </c>
      <c r="F701" s="1" t="s">
        <v>71</v>
      </c>
      <c r="G701" s="1" t="s">
        <v>14</v>
      </c>
      <c r="H701" s="1" t="s">
        <v>18</v>
      </c>
      <c r="I701" s="1">
        <v>198</v>
      </c>
      <c r="J701" s="1">
        <v>250</v>
      </c>
      <c r="K701" s="1">
        <v>0.02</v>
      </c>
      <c r="L701" s="1">
        <v>49500</v>
      </c>
      <c r="M701" s="1">
        <v>48510</v>
      </c>
      <c r="N701" s="1">
        <v>44486.99</v>
      </c>
      <c r="O701" s="1">
        <v>1.0900000000000001</v>
      </c>
      <c r="P701" s="2" t="s">
        <v>52</v>
      </c>
      <c r="Q701" s="14" t="s">
        <v>16</v>
      </c>
    </row>
    <row r="702" spans="1:17" x14ac:dyDescent="0.45">
      <c r="A702" s="10">
        <v>46075</v>
      </c>
      <c r="B702" s="1" t="s">
        <v>773</v>
      </c>
      <c r="C702" s="1" t="s">
        <v>58</v>
      </c>
      <c r="D702" s="1" t="s">
        <v>15</v>
      </c>
      <c r="E702" s="1" t="s">
        <v>62</v>
      </c>
      <c r="F702" s="1" t="s">
        <v>71</v>
      </c>
      <c r="G702" s="1" t="s">
        <v>24</v>
      </c>
      <c r="H702" s="1" t="s">
        <v>35</v>
      </c>
      <c r="I702" s="1">
        <v>81</v>
      </c>
      <c r="J702" s="1">
        <v>30</v>
      </c>
      <c r="K702" s="1">
        <v>0</v>
      </c>
      <c r="L702" s="1">
        <v>2430</v>
      </c>
      <c r="M702" s="1">
        <v>2430</v>
      </c>
      <c r="N702" s="1">
        <v>2395.8000000000002</v>
      </c>
      <c r="O702" s="1">
        <v>1.01</v>
      </c>
      <c r="P702" s="2" t="s">
        <v>73</v>
      </c>
      <c r="Q702" s="13" t="s">
        <v>22</v>
      </c>
    </row>
    <row r="703" spans="1:17" x14ac:dyDescent="0.45">
      <c r="A703" s="10">
        <v>46140</v>
      </c>
      <c r="B703" s="1" t="s">
        <v>774</v>
      </c>
      <c r="C703" s="1" t="s">
        <v>75</v>
      </c>
      <c r="D703" s="1" t="s">
        <v>15</v>
      </c>
      <c r="E703" s="1" t="s">
        <v>55</v>
      </c>
      <c r="F703" s="1" t="s">
        <v>60</v>
      </c>
      <c r="G703" s="1" t="s">
        <v>14</v>
      </c>
      <c r="H703" s="1" t="s">
        <v>27</v>
      </c>
      <c r="I703" s="1">
        <v>38</v>
      </c>
      <c r="J703" s="1">
        <v>120</v>
      </c>
      <c r="K703" s="1">
        <v>7.0000000000000007E-2</v>
      </c>
      <c r="L703" s="1">
        <v>4560</v>
      </c>
      <c r="M703" s="1">
        <v>4240.8</v>
      </c>
      <c r="N703" s="1">
        <v>4181.47</v>
      </c>
      <c r="O703" s="1">
        <v>1.01</v>
      </c>
      <c r="P703" s="2" t="s">
        <v>52</v>
      </c>
      <c r="Q703" s="14" t="s">
        <v>29</v>
      </c>
    </row>
    <row r="704" spans="1:17" x14ac:dyDescent="0.45">
      <c r="A704" s="10">
        <v>46050</v>
      </c>
      <c r="B704" s="1" t="s">
        <v>775</v>
      </c>
      <c r="C704" s="1" t="s">
        <v>58</v>
      </c>
      <c r="D704" s="1" t="s">
        <v>28</v>
      </c>
      <c r="E704" s="1" t="s">
        <v>59</v>
      </c>
      <c r="F704" s="1" t="s">
        <v>51</v>
      </c>
      <c r="G704" s="1" t="s">
        <v>24</v>
      </c>
      <c r="H704" s="1" t="s">
        <v>30</v>
      </c>
      <c r="I704" s="1">
        <v>179</v>
      </c>
      <c r="J704" s="1">
        <v>40</v>
      </c>
      <c r="K704" s="1">
        <v>0.05</v>
      </c>
      <c r="L704" s="1">
        <v>7160</v>
      </c>
      <c r="M704" s="1">
        <v>6802</v>
      </c>
      <c r="N704" s="1">
        <v>8016.37</v>
      </c>
      <c r="O704" s="1">
        <v>0.85</v>
      </c>
      <c r="P704" s="2" t="s">
        <v>52</v>
      </c>
      <c r="Q704" s="13" t="s">
        <v>16</v>
      </c>
    </row>
    <row r="705" spans="1:17" x14ac:dyDescent="0.45">
      <c r="A705" s="10">
        <v>46198</v>
      </c>
      <c r="B705" s="1" t="s">
        <v>776</v>
      </c>
      <c r="C705" s="1" t="s">
        <v>75</v>
      </c>
      <c r="D705" s="1" t="s">
        <v>28</v>
      </c>
      <c r="E705" s="1" t="s">
        <v>59</v>
      </c>
      <c r="F705" s="1" t="s">
        <v>71</v>
      </c>
      <c r="G705" s="1" t="s">
        <v>20</v>
      </c>
      <c r="H705" s="1" t="s">
        <v>33</v>
      </c>
      <c r="I705" s="1">
        <v>58</v>
      </c>
      <c r="J705" s="1">
        <v>35</v>
      </c>
      <c r="K705" s="1">
        <v>0.11</v>
      </c>
      <c r="L705" s="1">
        <v>2030</v>
      </c>
      <c r="M705" s="1">
        <v>1806.7</v>
      </c>
      <c r="N705" s="1">
        <v>1531.06</v>
      </c>
      <c r="O705" s="1">
        <v>1.18</v>
      </c>
      <c r="P705" s="2" t="s">
        <v>52</v>
      </c>
      <c r="Q705" s="14" t="s">
        <v>34</v>
      </c>
    </row>
    <row r="706" spans="1:17" x14ac:dyDescent="0.45">
      <c r="A706" s="10">
        <v>46129</v>
      </c>
      <c r="B706" s="1" t="s">
        <v>777</v>
      </c>
      <c r="C706" s="1" t="s">
        <v>64</v>
      </c>
      <c r="D706" s="1" t="s">
        <v>25</v>
      </c>
      <c r="E706" s="1" t="s">
        <v>98</v>
      </c>
      <c r="F706" s="1" t="s">
        <v>95</v>
      </c>
      <c r="G706" s="1" t="s">
        <v>24</v>
      </c>
      <c r="H706" s="1" t="s">
        <v>30</v>
      </c>
      <c r="I706" s="1">
        <v>109</v>
      </c>
      <c r="J706" s="1">
        <v>40</v>
      </c>
      <c r="K706" s="1">
        <v>0.11</v>
      </c>
      <c r="L706" s="1">
        <v>4360</v>
      </c>
      <c r="M706" s="1">
        <v>3880.4</v>
      </c>
      <c r="N706" s="1">
        <v>3481.77</v>
      </c>
      <c r="O706" s="1">
        <v>1.1100000000000001</v>
      </c>
      <c r="P706" s="2" t="s">
        <v>52</v>
      </c>
      <c r="Q706" s="13" t="s">
        <v>29</v>
      </c>
    </row>
    <row r="707" spans="1:17" x14ac:dyDescent="0.45">
      <c r="A707" s="10">
        <v>46113</v>
      </c>
      <c r="B707" s="1" t="s">
        <v>778</v>
      </c>
      <c r="C707" s="1" t="s">
        <v>64</v>
      </c>
      <c r="D707" s="1" t="s">
        <v>28</v>
      </c>
      <c r="E707" s="1" t="s">
        <v>82</v>
      </c>
      <c r="F707" s="1" t="s">
        <v>95</v>
      </c>
      <c r="G707" s="1" t="s">
        <v>20</v>
      </c>
      <c r="H707" s="1" t="s">
        <v>23</v>
      </c>
      <c r="I707" s="1">
        <v>19</v>
      </c>
      <c r="J707" s="1">
        <v>180</v>
      </c>
      <c r="K707" s="1">
        <v>0.12</v>
      </c>
      <c r="L707" s="1">
        <v>3420</v>
      </c>
      <c r="M707" s="1">
        <v>3009.6</v>
      </c>
      <c r="N707" s="1">
        <v>2854.05</v>
      </c>
      <c r="O707" s="1">
        <v>1.05</v>
      </c>
      <c r="P707" s="2" t="s">
        <v>52</v>
      </c>
      <c r="Q707" s="14" t="s">
        <v>29</v>
      </c>
    </row>
    <row r="708" spans="1:17" x14ac:dyDescent="0.45">
      <c r="A708" s="10">
        <v>46187</v>
      </c>
      <c r="B708" s="1" t="s">
        <v>779</v>
      </c>
      <c r="C708" s="1" t="s">
        <v>54</v>
      </c>
      <c r="D708" s="1" t="s">
        <v>21</v>
      </c>
      <c r="E708" s="1" t="s">
        <v>50</v>
      </c>
      <c r="F708" s="1" t="s">
        <v>56</v>
      </c>
      <c r="G708" s="1" t="s">
        <v>14</v>
      </c>
      <c r="H708" s="1" t="s">
        <v>27</v>
      </c>
      <c r="I708" s="1">
        <v>154</v>
      </c>
      <c r="J708" s="1">
        <v>120</v>
      </c>
      <c r="K708" s="1">
        <v>0.09</v>
      </c>
      <c r="L708" s="1">
        <v>18480</v>
      </c>
      <c r="M708" s="1">
        <v>16816.8</v>
      </c>
      <c r="N708" s="1">
        <v>17826.34</v>
      </c>
      <c r="O708" s="1">
        <v>0.94</v>
      </c>
      <c r="P708" s="2" t="s">
        <v>52</v>
      </c>
      <c r="Q708" s="13" t="s">
        <v>34</v>
      </c>
    </row>
    <row r="709" spans="1:17" x14ac:dyDescent="0.45">
      <c r="A709" s="10">
        <v>46149</v>
      </c>
      <c r="B709" s="1" t="s">
        <v>780</v>
      </c>
      <c r="C709" s="1" t="s">
        <v>64</v>
      </c>
      <c r="D709" s="1" t="s">
        <v>15</v>
      </c>
      <c r="E709" s="1" t="s">
        <v>62</v>
      </c>
      <c r="F709" s="1" t="s">
        <v>56</v>
      </c>
      <c r="G709" s="1" t="s">
        <v>20</v>
      </c>
      <c r="H709" s="1" t="s">
        <v>33</v>
      </c>
      <c r="I709" s="1">
        <v>95</v>
      </c>
      <c r="J709" s="1">
        <v>35</v>
      </c>
      <c r="K709" s="1">
        <v>0.08</v>
      </c>
      <c r="L709" s="1">
        <v>3325</v>
      </c>
      <c r="M709" s="1">
        <v>3059</v>
      </c>
      <c r="N709" s="1">
        <v>2487.79</v>
      </c>
      <c r="O709" s="1">
        <v>1.23</v>
      </c>
      <c r="P709" s="2" t="s">
        <v>52</v>
      </c>
      <c r="Q709" s="14" t="s">
        <v>32</v>
      </c>
    </row>
    <row r="710" spans="1:17" x14ac:dyDescent="0.45">
      <c r="A710" s="10">
        <v>46175</v>
      </c>
      <c r="B710" s="1" t="s">
        <v>781</v>
      </c>
      <c r="C710" s="1" t="s">
        <v>75</v>
      </c>
      <c r="D710" s="1" t="s">
        <v>25</v>
      </c>
      <c r="E710" s="1" t="s">
        <v>68</v>
      </c>
      <c r="F710" s="1" t="s">
        <v>56</v>
      </c>
      <c r="G710" s="1" t="s">
        <v>20</v>
      </c>
      <c r="H710" s="1" t="s">
        <v>23</v>
      </c>
      <c r="I710" s="1">
        <v>137</v>
      </c>
      <c r="J710" s="1">
        <v>180</v>
      </c>
      <c r="K710" s="1">
        <v>0.06</v>
      </c>
      <c r="L710" s="1">
        <v>24660</v>
      </c>
      <c r="M710" s="1">
        <v>23180.400000000001</v>
      </c>
      <c r="N710" s="1">
        <v>20076.79</v>
      </c>
      <c r="O710" s="1">
        <v>1.1499999999999999</v>
      </c>
      <c r="P710" s="2" t="s">
        <v>52</v>
      </c>
      <c r="Q710" s="13" t="s">
        <v>34</v>
      </c>
    </row>
    <row r="711" spans="1:17" x14ac:dyDescent="0.45">
      <c r="A711" s="10">
        <v>46121</v>
      </c>
      <c r="B711" s="1" t="s">
        <v>782</v>
      </c>
      <c r="C711" s="1" t="s">
        <v>64</v>
      </c>
      <c r="D711" s="1" t="s">
        <v>28</v>
      </c>
      <c r="E711" s="1" t="s">
        <v>65</v>
      </c>
      <c r="F711" s="1" t="s">
        <v>78</v>
      </c>
      <c r="G711" s="1" t="s">
        <v>24</v>
      </c>
      <c r="H711" s="1" t="s">
        <v>35</v>
      </c>
      <c r="I711" s="1">
        <v>63</v>
      </c>
      <c r="J711" s="1">
        <v>30</v>
      </c>
      <c r="K711" s="1">
        <v>0</v>
      </c>
      <c r="L711" s="1">
        <v>1890</v>
      </c>
      <c r="M711" s="1">
        <v>1890</v>
      </c>
      <c r="N711" s="1">
        <v>2062.25</v>
      </c>
      <c r="O711" s="1">
        <v>0.92</v>
      </c>
      <c r="P711" s="2" t="s">
        <v>73</v>
      </c>
      <c r="Q711" s="14" t="s">
        <v>29</v>
      </c>
    </row>
    <row r="712" spans="1:17" x14ac:dyDescent="0.45">
      <c r="A712" s="10">
        <v>46185</v>
      </c>
      <c r="B712" s="1" t="s">
        <v>783</v>
      </c>
      <c r="C712" s="1" t="s">
        <v>64</v>
      </c>
      <c r="D712" s="1" t="s">
        <v>25</v>
      </c>
      <c r="E712" s="1" t="s">
        <v>68</v>
      </c>
      <c r="F712" s="1" t="s">
        <v>56</v>
      </c>
      <c r="G712" s="1" t="s">
        <v>14</v>
      </c>
      <c r="H712" s="1" t="s">
        <v>18</v>
      </c>
      <c r="I712" s="1">
        <v>64</v>
      </c>
      <c r="J712" s="1">
        <v>250</v>
      </c>
      <c r="K712" s="1">
        <v>0</v>
      </c>
      <c r="L712" s="1">
        <v>16000</v>
      </c>
      <c r="M712" s="1">
        <v>16000</v>
      </c>
      <c r="N712" s="1">
        <v>18048.02</v>
      </c>
      <c r="O712" s="1">
        <v>0.89</v>
      </c>
      <c r="P712" s="2" t="s">
        <v>73</v>
      </c>
      <c r="Q712" s="13" t="s">
        <v>34</v>
      </c>
    </row>
    <row r="713" spans="1:17" x14ac:dyDescent="0.45">
      <c r="A713" s="10">
        <v>46109</v>
      </c>
      <c r="B713" s="1" t="s">
        <v>784</v>
      </c>
      <c r="C713" s="1" t="s">
        <v>49</v>
      </c>
      <c r="D713" s="1" t="s">
        <v>25</v>
      </c>
      <c r="E713" s="1" t="s">
        <v>68</v>
      </c>
      <c r="F713" s="1" t="s">
        <v>78</v>
      </c>
      <c r="G713" s="1" t="s">
        <v>14</v>
      </c>
      <c r="H713" s="1" t="s">
        <v>18</v>
      </c>
      <c r="I713" s="1">
        <v>97</v>
      </c>
      <c r="J713" s="1">
        <v>250</v>
      </c>
      <c r="K713" s="1">
        <v>0.1</v>
      </c>
      <c r="L713" s="1">
        <v>24250</v>
      </c>
      <c r="M713" s="1">
        <v>21825</v>
      </c>
      <c r="N713" s="1">
        <v>23787.279999999999</v>
      </c>
      <c r="O713" s="1">
        <v>0.92</v>
      </c>
      <c r="P713" s="2" t="s">
        <v>52</v>
      </c>
      <c r="Q713" s="14" t="s">
        <v>26</v>
      </c>
    </row>
    <row r="714" spans="1:17" x14ac:dyDescent="0.45">
      <c r="A714" s="10">
        <v>46035</v>
      </c>
      <c r="B714" s="1" t="s">
        <v>785</v>
      </c>
      <c r="C714" s="1" t="s">
        <v>54</v>
      </c>
      <c r="D714" s="1" t="s">
        <v>15</v>
      </c>
      <c r="E714" s="1" t="s">
        <v>55</v>
      </c>
      <c r="F714" s="1" t="s">
        <v>51</v>
      </c>
      <c r="G714" s="1" t="s">
        <v>20</v>
      </c>
      <c r="H714" s="1" t="s">
        <v>33</v>
      </c>
      <c r="I714" s="1">
        <v>146</v>
      </c>
      <c r="J714" s="1">
        <v>35</v>
      </c>
      <c r="K714" s="1">
        <v>0.12</v>
      </c>
      <c r="L714" s="1">
        <v>5110</v>
      </c>
      <c r="M714" s="1">
        <v>4496.8</v>
      </c>
      <c r="N714" s="1">
        <v>4145.79</v>
      </c>
      <c r="O714" s="1">
        <v>1.08</v>
      </c>
      <c r="P714" s="2" t="s">
        <v>73</v>
      </c>
      <c r="Q714" s="13" t="s">
        <v>16</v>
      </c>
    </row>
    <row r="715" spans="1:17" x14ac:dyDescent="0.45">
      <c r="A715" s="10">
        <v>46149</v>
      </c>
      <c r="B715" s="1" t="s">
        <v>786</v>
      </c>
      <c r="C715" s="1" t="s">
        <v>67</v>
      </c>
      <c r="D715" s="1" t="s">
        <v>21</v>
      </c>
      <c r="E715" s="1" t="s">
        <v>50</v>
      </c>
      <c r="F715" s="1" t="s">
        <v>51</v>
      </c>
      <c r="G715" s="1" t="s">
        <v>14</v>
      </c>
      <c r="H715" s="1" t="s">
        <v>18</v>
      </c>
      <c r="I715" s="1">
        <v>108</v>
      </c>
      <c r="J715" s="1">
        <v>250</v>
      </c>
      <c r="K715" s="1">
        <v>0.1</v>
      </c>
      <c r="L715" s="1">
        <v>27000</v>
      </c>
      <c r="M715" s="1">
        <v>24300</v>
      </c>
      <c r="N715" s="1">
        <v>25527.98</v>
      </c>
      <c r="O715" s="1">
        <v>0.95</v>
      </c>
      <c r="P715" s="2" t="s">
        <v>73</v>
      </c>
      <c r="Q715" s="14" t="s">
        <v>32</v>
      </c>
    </row>
    <row r="716" spans="1:17" x14ac:dyDescent="0.45">
      <c r="A716" s="10">
        <v>46130</v>
      </c>
      <c r="B716" s="1" t="s">
        <v>787</v>
      </c>
      <c r="C716" s="1" t="s">
        <v>49</v>
      </c>
      <c r="D716" s="1" t="s">
        <v>15</v>
      </c>
      <c r="E716" s="1" t="s">
        <v>62</v>
      </c>
      <c r="F716" s="1" t="s">
        <v>71</v>
      </c>
      <c r="G716" s="1" t="s">
        <v>24</v>
      </c>
      <c r="H716" s="1" t="s">
        <v>30</v>
      </c>
      <c r="I716" s="1">
        <v>179</v>
      </c>
      <c r="J716" s="1">
        <v>40</v>
      </c>
      <c r="K716" s="1">
        <v>0.14000000000000001</v>
      </c>
      <c r="L716" s="1">
        <v>7160</v>
      </c>
      <c r="M716" s="1">
        <v>6157.6</v>
      </c>
      <c r="N716" s="1">
        <v>6345.14</v>
      </c>
      <c r="O716" s="1">
        <v>0.97</v>
      </c>
      <c r="P716" s="2" t="s">
        <v>73</v>
      </c>
      <c r="Q716" s="13" t="s">
        <v>29</v>
      </c>
    </row>
    <row r="717" spans="1:17" x14ac:dyDescent="0.45">
      <c r="A717" s="10">
        <v>46105</v>
      </c>
      <c r="B717" s="1" t="s">
        <v>788</v>
      </c>
      <c r="C717" s="1" t="s">
        <v>49</v>
      </c>
      <c r="D717" s="1" t="s">
        <v>25</v>
      </c>
      <c r="E717" s="1" t="s">
        <v>98</v>
      </c>
      <c r="F717" s="1" t="s">
        <v>71</v>
      </c>
      <c r="G717" s="1" t="s">
        <v>24</v>
      </c>
      <c r="H717" s="1" t="s">
        <v>35</v>
      </c>
      <c r="I717" s="1">
        <v>114</v>
      </c>
      <c r="J717" s="1">
        <v>30</v>
      </c>
      <c r="K717" s="1">
        <v>0.13</v>
      </c>
      <c r="L717" s="1">
        <v>3420</v>
      </c>
      <c r="M717" s="1">
        <v>2975.4</v>
      </c>
      <c r="N717" s="1">
        <v>3134.06</v>
      </c>
      <c r="O717" s="1">
        <v>0.95</v>
      </c>
      <c r="P717" s="2" t="s">
        <v>73</v>
      </c>
      <c r="Q717" s="14" t="s">
        <v>26</v>
      </c>
    </row>
    <row r="718" spans="1:17" x14ac:dyDescent="0.45">
      <c r="A718" s="10">
        <v>46029</v>
      </c>
      <c r="B718" s="1" t="s">
        <v>789</v>
      </c>
      <c r="C718" s="1" t="s">
        <v>54</v>
      </c>
      <c r="D718" s="1" t="s">
        <v>21</v>
      </c>
      <c r="E718" s="1" t="s">
        <v>80</v>
      </c>
      <c r="F718" s="1" t="s">
        <v>95</v>
      </c>
      <c r="G718" s="1" t="s">
        <v>20</v>
      </c>
      <c r="H718" s="1" t="s">
        <v>23</v>
      </c>
      <c r="I718" s="1">
        <v>113</v>
      </c>
      <c r="J718" s="1">
        <v>180</v>
      </c>
      <c r="K718" s="1">
        <v>0.12</v>
      </c>
      <c r="L718" s="1">
        <v>20340</v>
      </c>
      <c r="M718" s="1">
        <v>17899.2</v>
      </c>
      <c r="N718" s="1">
        <v>14481.13</v>
      </c>
      <c r="O718" s="1">
        <v>1.24</v>
      </c>
      <c r="P718" s="2" t="s">
        <v>73</v>
      </c>
      <c r="Q718" s="13" t="s">
        <v>16</v>
      </c>
    </row>
    <row r="719" spans="1:17" x14ac:dyDescent="0.45">
      <c r="A719" s="10">
        <v>46044</v>
      </c>
      <c r="B719" s="1" t="s">
        <v>790</v>
      </c>
      <c r="C719" s="1" t="s">
        <v>75</v>
      </c>
      <c r="D719" s="1" t="s">
        <v>28</v>
      </c>
      <c r="E719" s="1" t="s">
        <v>70</v>
      </c>
      <c r="F719" s="1" t="s">
        <v>78</v>
      </c>
      <c r="G719" s="1" t="s">
        <v>14</v>
      </c>
      <c r="H719" s="1" t="s">
        <v>27</v>
      </c>
      <c r="I719" s="1">
        <v>79</v>
      </c>
      <c r="J719" s="1">
        <v>120</v>
      </c>
      <c r="K719" s="1">
        <v>0.15</v>
      </c>
      <c r="L719" s="1">
        <v>9480</v>
      </c>
      <c r="M719" s="1">
        <v>8058</v>
      </c>
      <c r="N719" s="1">
        <v>7640.29</v>
      </c>
      <c r="O719" s="1">
        <v>1.05</v>
      </c>
      <c r="P719" s="2" t="s">
        <v>73</v>
      </c>
      <c r="Q719" s="14" t="s">
        <v>16</v>
      </c>
    </row>
    <row r="720" spans="1:17" x14ac:dyDescent="0.45">
      <c r="A720" s="10">
        <v>46078</v>
      </c>
      <c r="B720" s="1" t="s">
        <v>791</v>
      </c>
      <c r="C720" s="1" t="s">
        <v>54</v>
      </c>
      <c r="D720" s="1" t="s">
        <v>25</v>
      </c>
      <c r="E720" s="1" t="s">
        <v>98</v>
      </c>
      <c r="F720" s="1" t="s">
        <v>78</v>
      </c>
      <c r="G720" s="1" t="s">
        <v>14</v>
      </c>
      <c r="H720" s="1" t="s">
        <v>27</v>
      </c>
      <c r="I720" s="1">
        <v>179</v>
      </c>
      <c r="J720" s="1">
        <v>120</v>
      </c>
      <c r="K720" s="1">
        <v>0.09</v>
      </c>
      <c r="L720" s="1">
        <v>21480</v>
      </c>
      <c r="M720" s="1">
        <v>19546.8</v>
      </c>
      <c r="N720" s="1">
        <v>17565.37</v>
      </c>
      <c r="O720" s="1">
        <v>1.1100000000000001</v>
      </c>
      <c r="P720" s="2" t="s">
        <v>52</v>
      </c>
      <c r="Q720" s="13" t="s">
        <v>22</v>
      </c>
    </row>
    <row r="721" spans="1:17" x14ac:dyDescent="0.45">
      <c r="A721" s="10">
        <v>46142</v>
      </c>
      <c r="B721" s="1" t="s">
        <v>792</v>
      </c>
      <c r="C721" s="1" t="s">
        <v>67</v>
      </c>
      <c r="D721" s="1" t="s">
        <v>28</v>
      </c>
      <c r="E721" s="1" t="s">
        <v>59</v>
      </c>
      <c r="F721" s="1" t="s">
        <v>95</v>
      </c>
      <c r="G721" s="1" t="s">
        <v>20</v>
      </c>
      <c r="H721" s="1" t="s">
        <v>23</v>
      </c>
      <c r="I721" s="1">
        <v>71</v>
      </c>
      <c r="J721" s="1">
        <v>180</v>
      </c>
      <c r="K721" s="1">
        <v>7.0000000000000007E-2</v>
      </c>
      <c r="L721" s="1">
        <v>12780</v>
      </c>
      <c r="M721" s="1">
        <v>11885.4</v>
      </c>
      <c r="N721" s="1">
        <v>13846.49</v>
      </c>
      <c r="O721" s="1">
        <v>0.86</v>
      </c>
      <c r="P721" s="2" t="s">
        <v>73</v>
      </c>
      <c r="Q721" s="14" t="s">
        <v>29</v>
      </c>
    </row>
    <row r="722" spans="1:17" x14ac:dyDescent="0.45">
      <c r="A722" s="10">
        <v>46149</v>
      </c>
      <c r="B722" s="1" t="s">
        <v>793</v>
      </c>
      <c r="C722" s="1" t="s">
        <v>58</v>
      </c>
      <c r="D722" s="1" t="s">
        <v>21</v>
      </c>
      <c r="E722" s="1" t="s">
        <v>80</v>
      </c>
      <c r="F722" s="1" t="s">
        <v>95</v>
      </c>
      <c r="G722" s="1" t="s">
        <v>14</v>
      </c>
      <c r="H722" s="1" t="s">
        <v>27</v>
      </c>
      <c r="I722" s="1">
        <v>117</v>
      </c>
      <c r="J722" s="1">
        <v>120</v>
      </c>
      <c r="K722" s="1">
        <v>7.0000000000000007E-2</v>
      </c>
      <c r="L722" s="1">
        <v>14040</v>
      </c>
      <c r="M722" s="1">
        <v>13057.2</v>
      </c>
      <c r="N722" s="1">
        <v>11662.15</v>
      </c>
      <c r="O722" s="1">
        <v>1.1200000000000001</v>
      </c>
      <c r="P722" s="2" t="s">
        <v>73</v>
      </c>
      <c r="Q722" s="13" t="s">
        <v>32</v>
      </c>
    </row>
    <row r="723" spans="1:17" x14ac:dyDescent="0.45">
      <c r="A723" s="10">
        <v>46168</v>
      </c>
      <c r="B723" s="1" t="s">
        <v>794</v>
      </c>
      <c r="C723" s="1" t="s">
        <v>67</v>
      </c>
      <c r="D723" s="1" t="s">
        <v>25</v>
      </c>
      <c r="E723" s="1" t="s">
        <v>104</v>
      </c>
      <c r="F723" s="1" t="s">
        <v>56</v>
      </c>
      <c r="G723" s="1" t="s">
        <v>24</v>
      </c>
      <c r="H723" s="1" t="s">
        <v>30</v>
      </c>
      <c r="I723" s="1">
        <v>198</v>
      </c>
      <c r="J723" s="1">
        <v>40</v>
      </c>
      <c r="K723" s="1">
        <v>0.08</v>
      </c>
      <c r="L723" s="1">
        <v>7920</v>
      </c>
      <c r="M723" s="1">
        <v>7286.4</v>
      </c>
      <c r="N723" s="1">
        <v>6199.83</v>
      </c>
      <c r="O723" s="1">
        <v>1.18</v>
      </c>
      <c r="P723" s="2" t="s">
        <v>73</v>
      </c>
      <c r="Q723" s="14" t="s">
        <v>32</v>
      </c>
    </row>
    <row r="724" spans="1:17" x14ac:dyDescent="0.45">
      <c r="A724" s="10">
        <v>46069</v>
      </c>
      <c r="B724" s="1" t="s">
        <v>795</v>
      </c>
      <c r="C724" s="1" t="s">
        <v>75</v>
      </c>
      <c r="D724" s="1" t="s">
        <v>25</v>
      </c>
      <c r="E724" s="1" t="s">
        <v>104</v>
      </c>
      <c r="F724" s="1" t="s">
        <v>56</v>
      </c>
      <c r="G724" s="1" t="s">
        <v>20</v>
      </c>
      <c r="H724" s="1" t="s">
        <v>23</v>
      </c>
      <c r="I724" s="1">
        <v>78</v>
      </c>
      <c r="J724" s="1">
        <v>180</v>
      </c>
      <c r="K724" s="1">
        <v>0.11</v>
      </c>
      <c r="L724" s="1">
        <v>14040</v>
      </c>
      <c r="M724" s="1">
        <v>12495.6</v>
      </c>
      <c r="N724" s="1">
        <v>14594.97</v>
      </c>
      <c r="O724" s="1">
        <v>0.86</v>
      </c>
      <c r="P724" s="2" t="s">
        <v>73</v>
      </c>
      <c r="Q724" s="13" t="s">
        <v>22</v>
      </c>
    </row>
    <row r="725" spans="1:17" x14ac:dyDescent="0.45">
      <c r="A725" s="10">
        <v>46181</v>
      </c>
      <c r="B725" s="1" t="s">
        <v>796</v>
      </c>
      <c r="C725" s="1" t="s">
        <v>58</v>
      </c>
      <c r="D725" s="1" t="s">
        <v>21</v>
      </c>
      <c r="E725" s="1" t="s">
        <v>80</v>
      </c>
      <c r="F725" s="1" t="s">
        <v>78</v>
      </c>
      <c r="G725" s="1" t="s">
        <v>14</v>
      </c>
      <c r="H725" s="1" t="s">
        <v>18</v>
      </c>
      <c r="I725" s="1">
        <v>139</v>
      </c>
      <c r="J725" s="1">
        <v>250</v>
      </c>
      <c r="K725" s="1">
        <v>0.1</v>
      </c>
      <c r="L725" s="1">
        <v>34750</v>
      </c>
      <c r="M725" s="1">
        <v>31275</v>
      </c>
      <c r="N725" s="1">
        <v>34790.050000000003</v>
      </c>
      <c r="O725" s="1">
        <v>0.9</v>
      </c>
      <c r="P725" s="2" t="s">
        <v>52</v>
      </c>
      <c r="Q725" s="14" t="s">
        <v>34</v>
      </c>
    </row>
    <row r="726" spans="1:17" x14ac:dyDescent="0.45">
      <c r="A726" s="10">
        <v>46076</v>
      </c>
      <c r="B726" s="1" t="s">
        <v>797</v>
      </c>
      <c r="C726" s="1" t="s">
        <v>67</v>
      </c>
      <c r="D726" s="1" t="s">
        <v>28</v>
      </c>
      <c r="E726" s="1" t="s">
        <v>59</v>
      </c>
      <c r="F726" s="1" t="s">
        <v>56</v>
      </c>
      <c r="G726" s="1" t="s">
        <v>24</v>
      </c>
      <c r="H726" s="1" t="s">
        <v>30</v>
      </c>
      <c r="I726" s="1">
        <v>187</v>
      </c>
      <c r="J726" s="1">
        <v>40</v>
      </c>
      <c r="K726" s="1">
        <v>7.0000000000000007E-2</v>
      </c>
      <c r="L726" s="1">
        <v>7480</v>
      </c>
      <c r="M726" s="1">
        <v>6956.4</v>
      </c>
      <c r="N726" s="1">
        <v>7472.96</v>
      </c>
      <c r="O726" s="1">
        <v>0.93</v>
      </c>
      <c r="P726" s="2" t="s">
        <v>73</v>
      </c>
      <c r="Q726" s="13" t="s">
        <v>22</v>
      </c>
    </row>
    <row r="727" spans="1:17" x14ac:dyDescent="0.45">
      <c r="A727" s="10">
        <v>46129</v>
      </c>
      <c r="B727" s="1" t="s">
        <v>798</v>
      </c>
      <c r="C727" s="1" t="s">
        <v>49</v>
      </c>
      <c r="D727" s="1" t="s">
        <v>21</v>
      </c>
      <c r="E727" s="1" t="s">
        <v>50</v>
      </c>
      <c r="F727" s="1" t="s">
        <v>60</v>
      </c>
      <c r="G727" s="1" t="s">
        <v>20</v>
      </c>
      <c r="H727" s="1" t="s">
        <v>23</v>
      </c>
      <c r="I727" s="1">
        <v>93</v>
      </c>
      <c r="J727" s="1">
        <v>180</v>
      </c>
      <c r="K727" s="1">
        <v>0</v>
      </c>
      <c r="L727" s="1">
        <v>16740</v>
      </c>
      <c r="M727" s="1">
        <v>16740</v>
      </c>
      <c r="N727" s="1">
        <v>19242.259999999998</v>
      </c>
      <c r="O727" s="1">
        <v>0.87</v>
      </c>
      <c r="P727" s="2" t="s">
        <v>73</v>
      </c>
      <c r="Q727" s="14" t="s">
        <v>29</v>
      </c>
    </row>
    <row r="728" spans="1:17" x14ac:dyDescent="0.45">
      <c r="A728" s="10">
        <v>46058</v>
      </c>
      <c r="B728" s="1" t="s">
        <v>799</v>
      </c>
      <c r="C728" s="1" t="s">
        <v>64</v>
      </c>
      <c r="D728" s="1" t="s">
        <v>21</v>
      </c>
      <c r="E728" s="1" t="s">
        <v>80</v>
      </c>
      <c r="F728" s="1" t="s">
        <v>60</v>
      </c>
      <c r="G728" s="1" t="s">
        <v>14</v>
      </c>
      <c r="H728" s="1" t="s">
        <v>18</v>
      </c>
      <c r="I728" s="1">
        <v>44</v>
      </c>
      <c r="J728" s="1">
        <v>250</v>
      </c>
      <c r="K728" s="1">
        <v>0.09</v>
      </c>
      <c r="L728" s="1">
        <v>11000</v>
      </c>
      <c r="M728" s="1">
        <v>10010</v>
      </c>
      <c r="N728" s="1">
        <v>8487.19</v>
      </c>
      <c r="O728" s="1">
        <v>1.18</v>
      </c>
      <c r="P728" s="2" t="s">
        <v>73</v>
      </c>
      <c r="Q728" s="13" t="s">
        <v>22</v>
      </c>
    </row>
    <row r="729" spans="1:17" x14ac:dyDescent="0.45">
      <c r="A729" s="10">
        <v>46126</v>
      </c>
      <c r="B729" s="1" t="s">
        <v>800</v>
      </c>
      <c r="C729" s="1" t="s">
        <v>75</v>
      </c>
      <c r="D729" s="1" t="s">
        <v>28</v>
      </c>
      <c r="E729" s="1" t="s">
        <v>82</v>
      </c>
      <c r="F729" s="1" t="s">
        <v>60</v>
      </c>
      <c r="G729" s="1" t="s">
        <v>20</v>
      </c>
      <c r="H729" s="1" t="s">
        <v>23</v>
      </c>
      <c r="I729" s="1">
        <v>60</v>
      </c>
      <c r="J729" s="1">
        <v>180</v>
      </c>
      <c r="K729" s="1">
        <v>0</v>
      </c>
      <c r="L729" s="1">
        <v>10800</v>
      </c>
      <c r="M729" s="1">
        <v>10800</v>
      </c>
      <c r="N729" s="1">
        <v>12927.87</v>
      </c>
      <c r="O729" s="1">
        <v>0.84</v>
      </c>
      <c r="P729" s="2" t="s">
        <v>73</v>
      </c>
      <c r="Q729" s="14" t="s">
        <v>29</v>
      </c>
    </row>
    <row r="730" spans="1:17" x14ac:dyDescent="0.45">
      <c r="A730" s="10">
        <v>46063</v>
      </c>
      <c r="B730" s="1" t="s">
        <v>801</v>
      </c>
      <c r="C730" s="1" t="s">
        <v>54</v>
      </c>
      <c r="D730" s="1" t="s">
        <v>15</v>
      </c>
      <c r="E730" s="1" t="s">
        <v>62</v>
      </c>
      <c r="F730" s="1" t="s">
        <v>51</v>
      </c>
      <c r="G730" s="1" t="s">
        <v>24</v>
      </c>
      <c r="H730" s="1" t="s">
        <v>30</v>
      </c>
      <c r="I730" s="1">
        <v>78</v>
      </c>
      <c r="J730" s="1">
        <v>40</v>
      </c>
      <c r="K730" s="1">
        <v>0.11</v>
      </c>
      <c r="L730" s="1">
        <v>3120</v>
      </c>
      <c r="M730" s="1">
        <v>2776.8</v>
      </c>
      <c r="N730" s="1">
        <v>3213.39</v>
      </c>
      <c r="O730" s="1">
        <v>0.86</v>
      </c>
      <c r="P730" s="2" t="s">
        <v>73</v>
      </c>
      <c r="Q730" s="13" t="s">
        <v>22</v>
      </c>
    </row>
    <row r="731" spans="1:17" x14ac:dyDescent="0.45">
      <c r="A731" s="10">
        <v>46102</v>
      </c>
      <c r="B731" s="1" t="s">
        <v>802</v>
      </c>
      <c r="C731" s="1" t="s">
        <v>75</v>
      </c>
      <c r="D731" s="1" t="s">
        <v>25</v>
      </c>
      <c r="E731" s="1" t="s">
        <v>104</v>
      </c>
      <c r="F731" s="1" t="s">
        <v>51</v>
      </c>
      <c r="G731" s="1" t="s">
        <v>24</v>
      </c>
      <c r="H731" s="1" t="s">
        <v>30</v>
      </c>
      <c r="I731" s="1">
        <v>18</v>
      </c>
      <c r="J731" s="1">
        <v>40</v>
      </c>
      <c r="K731" s="1">
        <v>0.14000000000000001</v>
      </c>
      <c r="L731" s="1">
        <v>720</v>
      </c>
      <c r="M731" s="1">
        <v>619.20000000000005</v>
      </c>
      <c r="N731" s="1">
        <v>645.51</v>
      </c>
      <c r="O731" s="1">
        <v>0.96</v>
      </c>
      <c r="P731" s="2" t="s">
        <v>52</v>
      </c>
      <c r="Q731" s="14" t="s">
        <v>26</v>
      </c>
    </row>
    <row r="732" spans="1:17" x14ac:dyDescent="0.45">
      <c r="A732" s="10">
        <v>46090</v>
      </c>
      <c r="B732" s="1" t="s">
        <v>803</v>
      </c>
      <c r="C732" s="1" t="s">
        <v>67</v>
      </c>
      <c r="D732" s="1" t="s">
        <v>21</v>
      </c>
      <c r="E732" s="1" t="s">
        <v>50</v>
      </c>
      <c r="F732" s="1" t="s">
        <v>60</v>
      </c>
      <c r="G732" s="1" t="s">
        <v>14</v>
      </c>
      <c r="H732" s="1" t="s">
        <v>27</v>
      </c>
      <c r="I732" s="1">
        <v>73</v>
      </c>
      <c r="J732" s="1">
        <v>120</v>
      </c>
      <c r="K732" s="1">
        <v>0.14000000000000001</v>
      </c>
      <c r="L732" s="1">
        <v>8760</v>
      </c>
      <c r="M732" s="1">
        <v>7533.6</v>
      </c>
      <c r="N732" s="1">
        <v>8304.75</v>
      </c>
      <c r="O732" s="1">
        <v>0.91</v>
      </c>
      <c r="P732" s="2" t="s">
        <v>73</v>
      </c>
      <c r="Q732" s="13" t="s">
        <v>26</v>
      </c>
    </row>
    <row r="733" spans="1:17" x14ac:dyDescent="0.45">
      <c r="A733" s="10">
        <v>46089</v>
      </c>
      <c r="B733" s="1" t="s">
        <v>804</v>
      </c>
      <c r="C733" s="1" t="s">
        <v>58</v>
      </c>
      <c r="D733" s="1" t="s">
        <v>28</v>
      </c>
      <c r="E733" s="1" t="s">
        <v>82</v>
      </c>
      <c r="F733" s="1" t="s">
        <v>60</v>
      </c>
      <c r="G733" s="1" t="s">
        <v>24</v>
      </c>
      <c r="H733" s="1" t="s">
        <v>30</v>
      </c>
      <c r="I733" s="1">
        <v>99</v>
      </c>
      <c r="J733" s="1">
        <v>40</v>
      </c>
      <c r="K733" s="1">
        <v>0</v>
      </c>
      <c r="L733" s="1">
        <v>3960</v>
      </c>
      <c r="M733" s="1">
        <v>3960</v>
      </c>
      <c r="N733" s="1">
        <v>4046.43</v>
      </c>
      <c r="O733" s="1">
        <v>0.98</v>
      </c>
      <c r="P733" s="2" t="s">
        <v>52</v>
      </c>
      <c r="Q733" s="14" t="s">
        <v>26</v>
      </c>
    </row>
    <row r="734" spans="1:17" x14ac:dyDescent="0.45">
      <c r="A734" s="10">
        <v>46198</v>
      </c>
      <c r="B734" s="1" t="s">
        <v>805</v>
      </c>
      <c r="C734" s="1" t="s">
        <v>49</v>
      </c>
      <c r="D734" s="1" t="s">
        <v>21</v>
      </c>
      <c r="E734" s="1" t="s">
        <v>80</v>
      </c>
      <c r="F734" s="1" t="s">
        <v>51</v>
      </c>
      <c r="G734" s="1" t="s">
        <v>14</v>
      </c>
      <c r="H734" s="1" t="s">
        <v>18</v>
      </c>
      <c r="I734" s="1">
        <v>185</v>
      </c>
      <c r="J734" s="1">
        <v>250</v>
      </c>
      <c r="K734" s="1">
        <v>0.09</v>
      </c>
      <c r="L734" s="1">
        <v>46250</v>
      </c>
      <c r="M734" s="1">
        <v>42087.5</v>
      </c>
      <c r="N734" s="1">
        <v>49746.43</v>
      </c>
      <c r="O734" s="1">
        <v>0.85</v>
      </c>
      <c r="P734" s="2" t="s">
        <v>52</v>
      </c>
      <c r="Q734" s="13" t="s">
        <v>34</v>
      </c>
    </row>
    <row r="735" spans="1:17" x14ac:dyDescent="0.45">
      <c r="A735" s="10">
        <v>46151</v>
      </c>
      <c r="B735" s="1" t="s">
        <v>806</v>
      </c>
      <c r="C735" s="1" t="s">
        <v>54</v>
      </c>
      <c r="D735" s="1" t="s">
        <v>15</v>
      </c>
      <c r="E735" s="1" t="s">
        <v>55</v>
      </c>
      <c r="F735" s="1" t="s">
        <v>78</v>
      </c>
      <c r="G735" s="1" t="s">
        <v>14</v>
      </c>
      <c r="H735" s="1" t="s">
        <v>18</v>
      </c>
      <c r="I735" s="1">
        <v>21</v>
      </c>
      <c r="J735" s="1">
        <v>250</v>
      </c>
      <c r="K735" s="1">
        <v>0.11</v>
      </c>
      <c r="L735" s="1">
        <v>5250</v>
      </c>
      <c r="M735" s="1">
        <v>4672.5</v>
      </c>
      <c r="N735" s="1">
        <v>5153.6400000000003</v>
      </c>
      <c r="O735" s="1">
        <v>0.91</v>
      </c>
      <c r="P735" s="2" t="s">
        <v>52</v>
      </c>
      <c r="Q735" s="14" t="s">
        <v>32</v>
      </c>
    </row>
    <row r="736" spans="1:17" x14ac:dyDescent="0.45">
      <c r="A736" s="10">
        <v>46035</v>
      </c>
      <c r="B736" s="1" t="s">
        <v>807</v>
      </c>
      <c r="C736" s="1" t="s">
        <v>64</v>
      </c>
      <c r="D736" s="1" t="s">
        <v>15</v>
      </c>
      <c r="E736" s="1" t="s">
        <v>62</v>
      </c>
      <c r="F736" s="1" t="s">
        <v>51</v>
      </c>
      <c r="G736" s="1" t="s">
        <v>20</v>
      </c>
      <c r="H736" s="1" t="s">
        <v>33</v>
      </c>
      <c r="I736" s="1">
        <v>52</v>
      </c>
      <c r="J736" s="1">
        <v>35</v>
      </c>
      <c r="K736" s="1">
        <v>0.11</v>
      </c>
      <c r="L736" s="1">
        <v>1820</v>
      </c>
      <c r="M736" s="1">
        <v>1619.8</v>
      </c>
      <c r="N736" s="1">
        <v>1861.59</v>
      </c>
      <c r="O736" s="1">
        <v>0.87</v>
      </c>
      <c r="P736" s="2" t="s">
        <v>52</v>
      </c>
      <c r="Q736" s="13" t="s">
        <v>16</v>
      </c>
    </row>
    <row r="737" spans="1:17" x14ac:dyDescent="0.45">
      <c r="A737" s="10">
        <v>46068</v>
      </c>
      <c r="B737" s="1" t="s">
        <v>808</v>
      </c>
      <c r="C737" s="1" t="s">
        <v>49</v>
      </c>
      <c r="D737" s="1" t="s">
        <v>25</v>
      </c>
      <c r="E737" s="1" t="s">
        <v>104</v>
      </c>
      <c r="F737" s="1" t="s">
        <v>78</v>
      </c>
      <c r="G737" s="1" t="s">
        <v>20</v>
      </c>
      <c r="H737" s="1" t="s">
        <v>23</v>
      </c>
      <c r="I737" s="1">
        <v>25</v>
      </c>
      <c r="J737" s="1">
        <v>180</v>
      </c>
      <c r="K737" s="1">
        <v>0.03</v>
      </c>
      <c r="L737" s="1">
        <v>4500</v>
      </c>
      <c r="M737" s="1">
        <v>4365</v>
      </c>
      <c r="N737" s="1">
        <v>3617.38</v>
      </c>
      <c r="O737" s="1">
        <v>1.21</v>
      </c>
      <c r="P737" s="2" t="s">
        <v>52</v>
      </c>
      <c r="Q737" s="14" t="s">
        <v>22</v>
      </c>
    </row>
    <row r="738" spans="1:17" x14ac:dyDescent="0.45">
      <c r="A738" s="10">
        <v>46116</v>
      </c>
      <c r="B738" s="1" t="s">
        <v>809</v>
      </c>
      <c r="C738" s="1" t="s">
        <v>75</v>
      </c>
      <c r="D738" s="1" t="s">
        <v>25</v>
      </c>
      <c r="E738" s="1" t="s">
        <v>104</v>
      </c>
      <c r="F738" s="1" t="s">
        <v>95</v>
      </c>
      <c r="G738" s="1" t="s">
        <v>20</v>
      </c>
      <c r="H738" s="1" t="s">
        <v>33</v>
      </c>
      <c r="I738" s="1">
        <v>76</v>
      </c>
      <c r="J738" s="1">
        <v>35</v>
      </c>
      <c r="K738" s="1">
        <v>0.04</v>
      </c>
      <c r="L738" s="1">
        <v>2660</v>
      </c>
      <c r="M738" s="1">
        <v>2553.6</v>
      </c>
      <c r="N738" s="1">
        <v>2067.04</v>
      </c>
      <c r="O738" s="1">
        <v>1.24</v>
      </c>
      <c r="P738" s="2" t="s">
        <v>52</v>
      </c>
      <c r="Q738" s="13" t="s">
        <v>29</v>
      </c>
    </row>
    <row r="739" spans="1:17" x14ac:dyDescent="0.45">
      <c r="A739" s="10">
        <v>46173</v>
      </c>
      <c r="B739" s="1" t="s">
        <v>810</v>
      </c>
      <c r="C739" s="1" t="s">
        <v>54</v>
      </c>
      <c r="D739" s="1" t="s">
        <v>28</v>
      </c>
      <c r="E739" s="1" t="s">
        <v>70</v>
      </c>
      <c r="F739" s="1" t="s">
        <v>56</v>
      </c>
      <c r="G739" s="1" t="s">
        <v>24</v>
      </c>
      <c r="H739" s="1" t="s">
        <v>35</v>
      </c>
      <c r="I739" s="1">
        <v>82</v>
      </c>
      <c r="J739" s="1">
        <v>30</v>
      </c>
      <c r="K739" s="1">
        <v>0.02</v>
      </c>
      <c r="L739" s="1">
        <v>2460</v>
      </c>
      <c r="M739" s="1">
        <v>2410.8000000000002</v>
      </c>
      <c r="N739" s="1">
        <v>2490.5700000000002</v>
      </c>
      <c r="O739" s="1">
        <v>0.97</v>
      </c>
      <c r="P739" s="2" t="s">
        <v>73</v>
      </c>
      <c r="Q739" s="14" t="s">
        <v>32</v>
      </c>
    </row>
    <row r="740" spans="1:17" x14ac:dyDescent="0.45">
      <c r="A740" s="10">
        <v>46088</v>
      </c>
      <c r="B740" s="1" t="s">
        <v>811</v>
      </c>
      <c r="C740" s="1" t="s">
        <v>67</v>
      </c>
      <c r="D740" s="1" t="s">
        <v>15</v>
      </c>
      <c r="E740" s="1" t="s">
        <v>55</v>
      </c>
      <c r="F740" s="1" t="s">
        <v>56</v>
      </c>
      <c r="G740" s="1" t="s">
        <v>14</v>
      </c>
      <c r="H740" s="1" t="s">
        <v>27</v>
      </c>
      <c r="I740" s="1">
        <v>155</v>
      </c>
      <c r="J740" s="1">
        <v>120</v>
      </c>
      <c r="K740" s="1">
        <v>7.0000000000000007E-2</v>
      </c>
      <c r="L740" s="1">
        <v>18600</v>
      </c>
      <c r="M740" s="1">
        <v>17298</v>
      </c>
      <c r="N740" s="1">
        <v>15382.62</v>
      </c>
      <c r="O740" s="1">
        <v>1.1200000000000001</v>
      </c>
      <c r="P740" s="2" t="s">
        <v>73</v>
      </c>
      <c r="Q740" s="13" t="s">
        <v>26</v>
      </c>
    </row>
    <row r="741" spans="1:17" x14ac:dyDescent="0.45">
      <c r="A741" s="10">
        <v>46069</v>
      </c>
      <c r="B741" s="1" t="s">
        <v>812</v>
      </c>
      <c r="C741" s="1" t="s">
        <v>64</v>
      </c>
      <c r="D741" s="1" t="s">
        <v>28</v>
      </c>
      <c r="E741" s="1" t="s">
        <v>82</v>
      </c>
      <c r="F741" s="1" t="s">
        <v>51</v>
      </c>
      <c r="G741" s="1" t="s">
        <v>24</v>
      </c>
      <c r="H741" s="1" t="s">
        <v>35</v>
      </c>
      <c r="I741" s="1">
        <v>161</v>
      </c>
      <c r="J741" s="1">
        <v>30</v>
      </c>
      <c r="K741" s="1">
        <v>0</v>
      </c>
      <c r="L741" s="1">
        <v>4830</v>
      </c>
      <c r="M741" s="1">
        <v>4830</v>
      </c>
      <c r="N741" s="1">
        <v>4061.45</v>
      </c>
      <c r="O741" s="1">
        <v>1.19</v>
      </c>
      <c r="P741" s="2" t="s">
        <v>73</v>
      </c>
      <c r="Q741" s="14" t="s">
        <v>22</v>
      </c>
    </row>
    <row r="742" spans="1:17" x14ac:dyDescent="0.45">
      <c r="A742" s="10">
        <v>46189</v>
      </c>
      <c r="B742" s="1" t="s">
        <v>813</v>
      </c>
      <c r="C742" s="1" t="s">
        <v>67</v>
      </c>
      <c r="D742" s="1" t="s">
        <v>21</v>
      </c>
      <c r="E742" s="1" t="s">
        <v>50</v>
      </c>
      <c r="F742" s="1" t="s">
        <v>78</v>
      </c>
      <c r="G742" s="1" t="s">
        <v>24</v>
      </c>
      <c r="H742" s="1" t="s">
        <v>35</v>
      </c>
      <c r="I742" s="1">
        <v>10</v>
      </c>
      <c r="J742" s="1">
        <v>30</v>
      </c>
      <c r="K742" s="1">
        <v>0.03</v>
      </c>
      <c r="L742" s="1">
        <v>300</v>
      </c>
      <c r="M742" s="1">
        <v>291</v>
      </c>
      <c r="N742" s="1">
        <v>264.58999999999997</v>
      </c>
      <c r="O742" s="1">
        <v>1.1000000000000001</v>
      </c>
      <c r="P742" s="2" t="s">
        <v>52</v>
      </c>
      <c r="Q742" s="13" t="s">
        <v>34</v>
      </c>
    </row>
    <row r="743" spans="1:17" x14ac:dyDescent="0.45">
      <c r="A743" s="10">
        <v>46109</v>
      </c>
      <c r="B743" s="1" t="s">
        <v>814</v>
      </c>
      <c r="C743" s="1" t="s">
        <v>49</v>
      </c>
      <c r="D743" s="1" t="s">
        <v>15</v>
      </c>
      <c r="E743" s="1" t="s">
        <v>62</v>
      </c>
      <c r="F743" s="1" t="s">
        <v>60</v>
      </c>
      <c r="G743" s="1" t="s">
        <v>20</v>
      </c>
      <c r="H743" s="1" t="s">
        <v>33</v>
      </c>
      <c r="I743" s="1">
        <v>133</v>
      </c>
      <c r="J743" s="1">
        <v>35</v>
      </c>
      <c r="K743" s="1">
        <v>0.04</v>
      </c>
      <c r="L743" s="1">
        <v>4655</v>
      </c>
      <c r="M743" s="1">
        <v>4468.8</v>
      </c>
      <c r="N743" s="1">
        <v>5274.16</v>
      </c>
      <c r="O743" s="1">
        <v>0.85</v>
      </c>
      <c r="P743" s="2" t="s">
        <v>52</v>
      </c>
      <c r="Q743" s="14" t="s">
        <v>26</v>
      </c>
    </row>
    <row r="744" spans="1:17" x14ac:dyDescent="0.45">
      <c r="A744" s="10">
        <v>46095</v>
      </c>
      <c r="B744" s="1" t="s">
        <v>815</v>
      </c>
      <c r="C744" s="1" t="s">
        <v>67</v>
      </c>
      <c r="D744" s="1" t="s">
        <v>15</v>
      </c>
      <c r="E744" s="1" t="s">
        <v>62</v>
      </c>
      <c r="F744" s="1" t="s">
        <v>78</v>
      </c>
      <c r="G744" s="1" t="s">
        <v>20</v>
      </c>
      <c r="H744" s="1" t="s">
        <v>33</v>
      </c>
      <c r="I744" s="1">
        <v>148</v>
      </c>
      <c r="J744" s="1">
        <v>35</v>
      </c>
      <c r="K744" s="1">
        <v>0.05</v>
      </c>
      <c r="L744" s="1">
        <v>5180</v>
      </c>
      <c r="M744" s="1">
        <v>4921</v>
      </c>
      <c r="N744" s="1">
        <v>4017.64</v>
      </c>
      <c r="O744" s="1">
        <v>1.22</v>
      </c>
      <c r="P744" s="2" t="s">
        <v>52</v>
      </c>
      <c r="Q744" s="13" t="s">
        <v>26</v>
      </c>
    </row>
    <row r="745" spans="1:17" x14ac:dyDescent="0.45">
      <c r="A745" s="10">
        <v>46057</v>
      </c>
      <c r="B745" s="1" t="s">
        <v>816</v>
      </c>
      <c r="C745" s="1" t="s">
        <v>49</v>
      </c>
      <c r="D745" s="1" t="s">
        <v>25</v>
      </c>
      <c r="E745" s="1" t="s">
        <v>104</v>
      </c>
      <c r="F745" s="1" t="s">
        <v>51</v>
      </c>
      <c r="G745" s="1" t="s">
        <v>20</v>
      </c>
      <c r="H745" s="1" t="s">
        <v>33</v>
      </c>
      <c r="I745" s="1">
        <v>197</v>
      </c>
      <c r="J745" s="1">
        <v>35</v>
      </c>
      <c r="K745" s="1">
        <v>0.08</v>
      </c>
      <c r="L745" s="1">
        <v>6895</v>
      </c>
      <c r="M745" s="1">
        <v>6343.4</v>
      </c>
      <c r="N745" s="1">
        <v>5177.92</v>
      </c>
      <c r="O745" s="1">
        <v>1.23</v>
      </c>
      <c r="P745" s="2" t="s">
        <v>52</v>
      </c>
      <c r="Q745" s="14" t="s">
        <v>22</v>
      </c>
    </row>
    <row r="746" spans="1:17" x14ac:dyDescent="0.45">
      <c r="A746" s="10">
        <v>46023</v>
      </c>
      <c r="B746" s="1" t="s">
        <v>817</v>
      </c>
      <c r="C746" s="1" t="s">
        <v>64</v>
      </c>
      <c r="D746" s="1" t="s">
        <v>15</v>
      </c>
      <c r="E746" s="1" t="s">
        <v>62</v>
      </c>
      <c r="F746" s="1" t="s">
        <v>71</v>
      </c>
      <c r="G746" s="1" t="s">
        <v>24</v>
      </c>
      <c r="H746" s="1" t="s">
        <v>35</v>
      </c>
      <c r="I746" s="1">
        <v>61</v>
      </c>
      <c r="J746" s="1">
        <v>30</v>
      </c>
      <c r="K746" s="1">
        <v>0.01</v>
      </c>
      <c r="L746" s="1">
        <v>1830</v>
      </c>
      <c r="M746" s="1">
        <v>1811.7</v>
      </c>
      <c r="N746" s="1">
        <v>2005.99</v>
      </c>
      <c r="O746" s="1">
        <v>0.9</v>
      </c>
      <c r="P746" s="2" t="s">
        <v>73</v>
      </c>
      <c r="Q746" s="13" t="s">
        <v>16</v>
      </c>
    </row>
    <row r="747" spans="1:17" x14ac:dyDescent="0.45">
      <c r="A747" s="10">
        <v>46073</v>
      </c>
      <c r="B747" s="1" t="s">
        <v>818</v>
      </c>
      <c r="C747" s="1" t="s">
        <v>49</v>
      </c>
      <c r="D747" s="1" t="s">
        <v>21</v>
      </c>
      <c r="E747" s="1" t="s">
        <v>80</v>
      </c>
      <c r="F747" s="1" t="s">
        <v>95</v>
      </c>
      <c r="G747" s="1" t="s">
        <v>24</v>
      </c>
      <c r="H747" s="1" t="s">
        <v>35</v>
      </c>
      <c r="I747" s="1">
        <v>34</v>
      </c>
      <c r="J747" s="1">
        <v>30</v>
      </c>
      <c r="K747" s="1">
        <v>0.11</v>
      </c>
      <c r="L747" s="1">
        <v>1020</v>
      </c>
      <c r="M747" s="1">
        <v>907.8</v>
      </c>
      <c r="N747" s="1">
        <v>732.16</v>
      </c>
      <c r="O747" s="1">
        <v>1.24</v>
      </c>
      <c r="P747" s="2" t="s">
        <v>73</v>
      </c>
      <c r="Q747" s="14" t="s">
        <v>22</v>
      </c>
    </row>
    <row r="748" spans="1:17" x14ac:dyDescent="0.45">
      <c r="A748" s="10">
        <v>46045</v>
      </c>
      <c r="B748" s="1" t="s">
        <v>819</v>
      </c>
      <c r="C748" s="1" t="s">
        <v>67</v>
      </c>
      <c r="D748" s="1" t="s">
        <v>15</v>
      </c>
      <c r="E748" s="1" t="s">
        <v>55</v>
      </c>
      <c r="F748" s="1" t="s">
        <v>78</v>
      </c>
      <c r="G748" s="1" t="s">
        <v>20</v>
      </c>
      <c r="H748" s="1" t="s">
        <v>23</v>
      </c>
      <c r="I748" s="1">
        <v>57</v>
      </c>
      <c r="J748" s="1">
        <v>180</v>
      </c>
      <c r="K748" s="1">
        <v>0.13</v>
      </c>
      <c r="L748" s="1">
        <v>10260</v>
      </c>
      <c r="M748" s="1">
        <v>8926.2000000000007</v>
      </c>
      <c r="N748" s="1">
        <v>10610.39</v>
      </c>
      <c r="O748" s="1">
        <v>0.84</v>
      </c>
      <c r="P748" s="2" t="s">
        <v>73</v>
      </c>
      <c r="Q748" s="13" t="s">
        <v>16</v>
      </c>
    </row>
    <row r="749" spans="1:17" x14ac:dyDescent="0.45">
      <c r="A749" s="10">
        <v>46183</v>
      </c>
      <c r="B749" s="1" t="s">
        <v>820</v>
      </c>
      <c r="C749" s="1" t="s">
        <v>67</v>
      </c>
      <c r="D749" s="1" t="s">
        <v>21</v>
      </c>
      <c r="E749" s="1" t="s">
        <v>80</v>
      </c>
      <c r="F749" s="1" t="s">
        <v>95</v>
      </c>
      <c r="G749" s="1" t="s">
        <v>20</v>
      </c>
      <c r="H749" s="1" t="s">
        <v>33</v>
      </c>
      <c r="I749" s="1">
        <v>129</v>
      </c>
      <c r="J749" s="1">
        <v>35</v>
      </c>
      <c r="K749" s="1">
        <v>0.15</v>
      </c>
      <c r="L749" s="1">
        <v>4515</v>
      </c>
      <c r="M749" s="1">
        <v>3837.75</v>
      </c>
      <c r="N749" s="1">
        <v>3293.64</v>
      </c>
      <c r="O749" s="1">
        <v>1.17</v>
      </c>
      <c r="P749" s="2" t="s">
        <v>73</v>
      </c>
      <c r="Q749" s="14" t="s">
        <v>34</v>
      </c>
    </row>
    <row r="750" spans="1:17" x14ac:dyDescent="0.45">
      <c r="A750" s="10">
        <v>46130</v>
      </c>
      <c r="B750" s="1" t="s">
        <v>821</v>
      </c>
      <c r="C750" s="1" t="s">
        <v>54</v>
      </c>
      <c r="D750" s="1" t="s">
        <v>21</v>
      </c>
      <c r="E750" s="1" t="s">
        <v>80</v>
      </c>
      <c r="F750" s="1" t="s">
        <v>78</v>
      </c>
      <c r="G750" s="1" t="s">
        <v>20</v>
      </c>
      <c r="H750" s="1" t="s">
        <v>33</v>
      </c>
      <c r="I750" s="1">
        <v>72</v>
      </c>
      <c r="J750" s="1">
        <v>35</v>
      </c>
      <c r="K750" s="1">
        <v>0.1</v>
      </c>
      <c r="L750" s="1">
        <v>2520</v>
      </c>
      <c r="M750" s="1">
        <v>2268</v>
      </c>
      <c r="N750" s="1">
        <v>2132.31</v>
      </c>
      <c r="O750" s="1">
        <v>1.06</v>
      </c>
      <c r="P750" s="2" t="s">
        <v>52</v>
      </c>
      <c r="Q750" s="13" t="s">
        <v>29</v>
      </c>
    </row>
    <row r="751" spans="1:17" x14ac:dyDescent="0.45">
      <c r="A751" s="10">
        <v>46200</v>
      </c>
      <c r="B751" s="1" t="s">
        <v>822</v>
      </c>
      <c r="C751" s="1" t="s">
        <v>75</v>
      </c>
      <c r="D751" s="1" t="s">
        <v>28</v>
      </c>
      <c r="E751" s="1" t="s">
        <v>70</v>
      </c>
      <c r="F751" s="1" t="s">
        <v>60</v>
      </c>
      <c r="G751" s="1" t="s">
        <v>20</v>
      </c>
      <c r="H751" s="1" t="s">
        <v>23</v>
      </c>
      <c r="I751" s="1">
        <v>98</v>
      </c>
      <c r="J751" s="1">
        <v>180</v>
      </c>
      <c r="K751" s="1">
        <v>0</v>
      </c>
      <c r="L751" s="1">
        <v>17640</v>
      </c>
      <c r="M751" s="1">
        <v>17640</v>
      </c>
      <c r="N751" s="1">
        <v>15968.7</v>
      </c>
      <c r="O751" s="1">
        <v>1.1000000000000001</v>
      </c>
      <c r="P751" s="2" t="s">
        <v>52</v>
      </c>
      <c r="Q751" s="14" t="s">
        <v>34</v>
      </c>
    </row>
    <row r="752" spans="1:17" x14ac:dyDescent="0.45">
      <c r="A752" s="10">
        <v>46133</v>
      </c>
      <c r="B752" s="1" t="s">
        <v>823</v>
      </c>
      <c r="C752" s="1" t="s">
        <v>49</v>
      </c>
      <c r="D752" s="1" t="s">
        <v>15</v>
      </c>
      <c r="E752" s="1" t="s">
        <v>62</v>
      </c>
      <c r="F752" s="1" t="s">
        <v>60</v>
      </c>
      <c r="G752" s="1" t="s">
        <v>20</v>
      </c>
      <c r="H752" s="1" t="s">
        <v>33</v>
      </c>
      <c r="I752" s="1">
        <v>136</v>
      </c>
      <c r="J752" s="1">
        <v>35</v>
      </c>
      <c r="K752" s="1">
        <v>0.04</v>
      </c>
      <c r="L752" s="1">
        <v>4760</v>
      </c>
      <c r="M752" s="1">
        <v>4569.6000000000004</v>
      </c>
      <c r="N752" s="1">
        <v>5439.48</v>
      </c>
      <c r="O752" s="1">
        <v>0.84</v>
      </c>
      <c r="P752" s="2" t="s">
        <v>52</v>
      </c>
      <c r="Q752" s="13" t="s">
        <v>29</v>
      </c>
    </row>
    <row r="753" spans="1:17" x14ac:dyDescent="0.45">
      <c r="A753" s="10">
        <v>46197</v>
      </c>
      <c r="B753" s="1" t="s">
        <v>824</v>
      </c>
      <c r="C753" s="1" t="s">
        <v>75</v>
      </c>
      <c r="D753" s="1" t="s">
        <v>25</v>
      </c>
      <c r="E753" s="1" t="s">
        <v>68</v>
      </c>
      <c r="F753" s="1" t="s">
        <v>60</v>
      </c>
      <c r="G753" s="1" t="s">
        <v>14</v>
      </c>
      <c r="H753" s="1" t="s">
        <v>27</v>
      </c>
      <c r="I753" s="1">
        <v>158</v>
      </c>
      <c r="J753" s="1">
        <v>120</v>
      </c>
      <c r="K753" s="1">
        <v>0.11</v>
      </c>
      <c r="L753" s="1">
        <v>18960</v>
      </c>
      <c r="M753" s="1">
        <v>16874.400000000001</v>
      </c>
      <c r="N753" s="1">
        <v>17575.45</v>
      </c>
      <c r="O753" s="1">
        <v>0.96</v>
      </c>
      <c r="P753" s="2" t="s">
        <v>73</v>
      </c>
      <c r="Q753" s="14" t="s">
        <v>34</v>
      </c>
    </row>
    <row r="754" spans="1:17" x14ac:dyDescent="0.45">
      <c r="A754" s="10">
        <v>46159</v>
      </c>
      <c r="B754" s="1" t="s">
        <v>825</v>
      </c>
      <c r="C754" s="1" t="s">
        <v>54</v>
      </c>
      <c r="D754" s="1" t="s">
        <v>25</v>
      </c>
      <c r="E754" s="1" t="s">
        <v>98</v>
      </c>
      <c r="F754" s="1" t="s">
        <v>51</v>
      </c>
      <c r="G754" s="1" t="s">
        <v>24</v>
      </c>
      <c r="H754" s="1" t="s">
        <v>35</v>
      </c>
      <c r="I754" s="1">
        <v>94</v>
      </c>
      <c r="J754" s="1">
        <v>30</v>
      </c>
      <c r="K754" s="1">
        <v>0.02</v>
      </c>
      <c r="L754" s="1">
        <v>2820</v>
      </c>
      <c r="M754" s="1">
        <v>2763.6</v>
      </c>
      <c r="N754" s="1">
        <v>2819.57</v>
      </c>
      <c r="O754" s="1">
        <v>0.98</v>
      </c>
      <c r="P754" s="2" t="s">
        <v>52</v>
      </c>
      <c r="Q754" s="13" t="s">
        <v>32</v>
      </c>
    </row>
    <row r="755" spans="1:17" x14ac:dyDescent="0.45">
      <c r="A755" s="10">
        <v>46184</v>
      </c>
      <c r="B755" s="1" t="s">
        <v>826</v>
      </c>
      <c r="C755" s="1" t="s">
        <v>64</v>
      </c>
      <c r="D755" s="1" t="s">
        <v>28</v>
      </c>
      <c r="E755" s="1" t="s">
        <v>59</v>
      </c>
      <c r="F755" s="1" t="s">
        <v>51</v>
      </c>
      <c r="G755" s="1" t="s">
        <v>20</v>
      </c>
      <c r="H755" s="1" t="s">
        <v>33</v>
      </c>
      <c r="I755" s="1">
        <v>73</v>
      </c>
      <c r="J755" s="1">
        <v>35</v>
      </c>
      <c r="K755" s="1">
        <v>0.05</v>
      </c>
      <c r="L755" s="1">
        <v>2555</v>
      </c>
      <c r="M755" s="1">
        <v>2427.25</v>
      </c>
      <c r="N755" s="1">
        <v>2306.15</v>
      </c>
      <c r="O755" s="1">
        <v>1.05</v>
      </c>
      <c r="P755" s="2" t="s">
        <v>73</v>
      </c>
      <c r="Q755" s="14" t="s">
        <v>34</v>
      </c>
    </row>
    <row r="756" spans="1:17" x14ac:dyDescent="0.45">
      <c r="A756" s="10">
        <v>46086</v>
      </c>
      <c r="B756" s="1" t="s">
        <v>827</v>
      </c>
      <c r="C756" s="1" t="s">
        <v>67</v>
      </c>
      <c r="D756" s="1" t="s">
        <v>15</v>
      </c>
      <c r="E756" s="1" t="s">
        <v>62</v>
      </c>
      <c r="F756" s="1" t="s">
        <v>60</v>
      </c>
      <c r="G756" s="1" t="s">
        <v>24</v>
      </c>
      <c r="H756" s="1" t="s">
        <v>35</v>
      </c>
      <c r="I756" s="1">
        <v>117</v>
      </c>
      <c r="J756" s="1">
        <v>30</v>
      </c>
      <c r="K756" s="1">
        <v>0.11</v>
      </c>
      <c r="L756" s="1">
        <v>3510</v>
      </c>
      <c r="M756" s="1">
        <v>3123.9</v>
      </c>
      <c r="N756" s="1">
        <v>3397.94</v>
      </c>
      <c r="O756" s="1">
        <v>0.92</v>
      </c>
      <c r="P756" s="2" t="s">
        <v>73</v>
      </c>
      <c r="Q756" s="13" t="s">
        <v>26</v>
      </c>
    </row>
    <row r="757" spans="1:17" x14ac:dyDescent="0.45">
      <c r="A757" s="10">
        <v>46151</v>
      </c>
      <c r="B757" s="1" t="s">
        <v>828</v>
      </c>
      <c r="C757" s="1" t="s">
        <v>64</v>
      </c>
      <c r="D757" s="1" t="s">
        <v>15</v>
      </c>
      <c r="E757" s="1" t="s">
        <v>55</v>
      </c>
      <c r="F757" s="1" t="s">
        <v>95</v>
      </c>
      <c r="G757" s="1" t="s">
        <v>20</v>
      </c>
      <c r="H757" s="1" t="s">
        <v>33</v>
      </c>
      <c r="I757" s="1">
        <v>21</v>
      </c>
      <c r="J757" s="1">
        <v>35</v>
      </c>
      <c r="K757" s="1">
        <v>0.04</v>
      </c>
      <c r="L757" s="1">
        <v>735</v>
      </c>
      <c r="M757" s="1">
        <v>705.6</v>
      </c>
      <c r="N757" s="1">
        <v>672.85</v>
      </c>
      <c r="O757" s="1">
        <v>1.05</v>
      </c>
      <c r="P757" s="2" t="s">
        <v>73</v>
      </c>
      <c r="Q757" s="14" t="s">
        <v>32</v>
      </c>
    </row>
    <row r="758" spans="1:17" x14ac:dyDescent="0.45">
      <c r="A758" s="10">
        <v>46165</v>
      </c>
      <c r="B758" s="1" t="s">
        <v>829</v>
      </c>
      <c r="C758" s="1" t="s">
        <v>58</v>
      </c>
      <c r="D758" s="1" t="s">
        <v>21</v>
      </c>
      <c r="E758" s="1" t="s">
        <v>50</v>
      </c>
      <c r="F758" s="1" t="s">
        <v>51</v>
      </c>
      <c r="G758" s="1" t="s">
        <v>14</v>
      </c>
      <c r="H758" s="1" t="s">
        <v>27</v>
      </c>
      <c r="I758" s="1">
        <v>53</v>
      </c>
      <c r="J758" s="1">
        <v>120</v>
      </c>
      <c r="K758" s="1">
        <v>0.06</v>
      </c>
      <c r="L758" s="1">
        <v>6360</v>
      </c>
      <c r="M758" s="1">
        <v>5978.4</v>
      </c>
      <c r="N758" s="1">
        <v>6636.65</v>
      </c>
      <c r="O758" s="1">
        <v>0.9</v>
      </c>
      <c r="P758" s="2" t="s">
        <v>52</v>
      </c>
      <c r="Q758" s="13" t="s">
        <v>32</v>
      </c>
    </row>
    <row r="759" spans="1:17" x14ac:dyDescent="0.45">
      <c r="A759" s="10">
        <v>46081</v>
      </c>
      <c r="B759" s="1" t="s">
        <v>830</v>
      </c>
      <c r="C759" s="1" t="s">
        <v>54</v>
      </c>
      <c r="D759" s="1" t="s">
        <v>21</v>
      </c>
      <c r="E759" s="1" t="s">
        <v>80</v>
      </c>
      <c r="F759" s="1" t="s">
        <v>51</v>
      </c>
      <c r="G759" s="1" t="s">
        <v>24</v>
      </c>
      <c r="H759" s="1" t="s">
        <v>30</v>
      </c>
      <c r="I759" s="1">
        <v>137</v>
      </c>
      <c r="J759" s="1">
        <v>40</v>
      </c>
      <c r="K759" s="1">
        <v>0.02</v>
      </c>
      <c r="L759" s="1">
        <v>5480</v>
      </c>
      <c r="M759" s="1">
        <v>5370.4</v>
      </c>
      <c r="N759" s="1">
        <v>6373.41</v>
      </c>
      <c r="O759" s="1">
        <v>0.84</v>
      </c>
      <c r="P759" s="2" t="s">
        <v>52</v>
      </c>
      <c r="Q759" s="14" t="s">
        <v>22</v>
      </c>
    </row>
    <row r="760" spans="1:17" x14ac:dyDescent="0.45">
      <c r="A760" s="10">
        <v>46165</v>
      </c>
      <c r="B760" s="1" t="s">
        <v>831</v>
      </c>
      <c r="C760" s="1" t="s">
        <v>49</v>
      </c>
      <c r="D760" s="1" t="s">
        <v>25</v>
      </c>
      <c r="E760" s="1" t="s">
        <v>104</v>
      </c>
      <c r="F760" s="1" t="s">
        <v>60</v>
      </c>
      <c r="G760" s="1" t="s">
        <v>14</v>
      </c>
      <c r="H760" s="1" t="s">
        <v>27</v>
      </c>
      <c r="I760" s="1">
        <v>37</v>
      </c>
      <c r="J760" s="1">
        <v>120</v>
      </c>
      <c r="K760" s="1">
        <v>0.06</v>
      </c>
      <c r="L760" s="1">
        <v>4440</v>
      </c>
      <c r="M760" s="1">
        <v>4173.6000000000004</v>
      </c>
      <c r="N760" s="1">
        <v>4553.6400000000003</v>
      </c>
      <c r="O760" s="1">
        <v>0.92</v>
      </c>
      <c r="P760" s="2" t="s">
        <v>52</v>
      </c>
      <c r="Q760" s="13" t="s">
        <v>32</v>
      </c>
    </row>
    <row r="761" spans="1:17" x14ac:dyDescent="0.45">
      <c r="A761" s="10">
        <v>46142</v>
      </c>
      <c r="B761" s="1" t="s">
        <v>832</v>
      </c>
      <c r="C761" s="1" t="s">
        <v>58</v>
      </c>
      <c r="D761" s="1" t="s">
        <v>25</v>
      </c>
      <c r="E761" s="1" t="s">
        <v>98</v>
      </c>
      <c r="F761" s="1" t="s">
        <v>78</v>
      </c>
      <c r="G761" s="1" t="s">
        <v>24</v>
      </c>
      <c r="H761" s="1" t="s">
        <v>30</v>
      </c>
      <c r="I761" s="1">
        <v>53</v>
      </c>
      <c r="J761" s="1">
        <v>40</v>
      </c>
      <c r="K761" s="1">
        <v>0.15</v>
      </c>
      <c r="L761" s="1">
        <v>2120</v>
      </c>
      <c r="M761" s="1">
        <v>1802</v>
      </c>
      <c r="N761" s="1">
        <v>1902.05</v>
      </c>
      <c r="O761" s="1">
        <v>0.95</v>
      </c>
      <c r="P761" s="2" t="s">
        <v>52</v>
      </c>
      <c r="Q761" s="14" t="s">
        <v>29</v>
      </c>
    </row>
    <row r="762" spans="1:17" x14ac:dyDescent="0.45">
      <c r="A762" s="10">
        <v>46177</v>
      </c>
      <c r="B762" s="1" t="s">
        <v>833</v>
      </c>
      <c r="C762" s="1" t="s">
        <v>54</v>
      </c>
      <c r="D762" s="1" t="s">
        <v>15</v>
      </c>
      <c r="E762" s="1" t="s">
        <v>55</v>
      </c>
      <c r="F762" s="1" t="s">
        <v>51</v>
      </c>
      <c r="G762" s="1" t="s">
        <v>24</v>
      </c>
      <c r="H762" s="1" t="s">
        <v>30</v>
      </c>
      <c r="I762" s="1">
        <v>19</v>
      </c>
      <c r="J762" s="1">
        <v>40</v>
      </c>
      <c r="K762" s="1">
        <v>0.11</v>
      </c>
      <c r="L762" s="1">
        <v>760</v>
      </c>
      <c r="M762" s="1">
        <v>676.4</v>
      </c>
      <c r="N762" s="1">
        <v>781.49</v>
      </c>
      <c r="O762" s="1">
        <v>0.87</v>
      </c>
      <c r="P762" s="2" t="s">
        <v>73</v>
      </c>
      <c r="Q762" s="13" t="s">
        <v>34</v>
      </c>
    </row>
    <row r="763" spans="1:17" x14ac:dyDescent="0.45">
      <c r="A763" s="10">
        <v>46080</v>
      </c>
      <c r="B763" s="1" t="s">
        <v>834</v>
      </c>
      <c r="C763" s="1" t="s">
        <v>49</v>
      </c>
      <c r="D763" s="1" t="s">
        <v>28</v>
      </c>
      <c r="E763" s="1" t="s">
        <v>82</v>
      </c>
      <c r="F763" s="1" t="s">
        <v>56</v>
      </c>
      <c r="G763" s="1" t="s">
        <v>24</v>
      </c>
      <c r="H763" s="1" t="s">
        <v>35</v>
      </c>
      <c r="I763" s="1">
        <v>81</v>
      </c>
      <c r="J763" s="1">
        <v>30</v>
      </c>
      <c r="K763" s="1">
        <v>0.06</v>
      </c>
      <c r="L763" s="1">
        <v>2430</v>
      </c>
      <c r="M763" s="1">
        <v>2284.1999999999998</v>
      </c>
      <c r="N763" s="1">
        <v>2234.92</v>
      </c>
      <c r="O763" s="1">
        <v>1.02</v>
      </c>
      <c r="P763" s="2" t="s">
        <v>73</v>
      </c>
      <c r="Q763" s="14" t="s">
        <v>22</v>
      </c>
    </row>
    <row r="764" spans="1:17" x14ac:dyDescent="0.45">
      <c r="A764" s="10">
        <v>46084</v>
      </c>
      <c r="B764" s="1" t="s">
        <v>835</v>
      </c>
      <c r="C764" s="1" t="s">
        <v>64</v>
      </c>
      <c r="D764" s="1" t="s">
        <v>25</v>
      </c>
      <c r="E764" s="1" t="s">
        <v>104</v>
      </c>
      <c r="F764" s="1" t="s">
        <v>78</v>
      </c>
      <c r="G764" s="1" t="s">
        <v>24</v>
      </c>
      <c r="H764" s="1" t="s">
        <v>35</v>
      </c>
      <c r="I764" s="1">
        <v>153</v>
      </c>
      <c r="J764" s="1">
        <v>30</v>
      </c>
      <c r="K764" s="1">
        <v>0.14000000000000001</v>
      </c>
      <c r="L764" s="1">
        <v>4590</v>
      </c>
      <c r="M764" s="1">
        <v>3947.4</v>
      </c>
      <c r="N764" s="1">
        <v>3162.57</v>
      </c>
      <c r="O764" s="1">
        <v>1.25</v>
      </c>
      <c r="P764" s="2" t="s">
        <v>52</v>
      </c>
      <c r="Q764" s="13" t="s">
        <v>26</v>
      </c>
    </row>
    <row r="765" spans="1:17" x14ac:dyDescent="0.45">
      <c r="A765" s="10">
        <v>46051</v>
      </c>
      <c r="B765" s="1" t="s">
        <v>836</v>
      </c>
      <c r="C765" s="1" t="s">
        <v>67</v>
      </c>
      <c r="D765" s="1" t="s">
        <v>21</v>
      </c>
      <c r="E765" s="1" t="s">
        <v>50</v>
      </c>
      <c r="F765" s="1" t="s">
        <v>95</v>
      </c>
      <c r="G765" s="1" t="s">
        <v>24</v>
      </c>
      <c r="H765" s="1" t="s">
        <v>30</v>
      </c>
      <c r="I765" s="1">
        <v>16</v>
      </c>
      <c r="J765" s="1">
        <v>40</v>
      </c>
      <c r="K765" s="1">
        <v>0.12</v>
      </c>
      <c r="L765" s="1">
        <v>640</v>
      </c>
      <c r="M765" s="1">
        <v>563.20000000000005</v>
      </c>
      <c r="N765" s="1">
        <v>459.08</v>
      </c>
      <c r="O765" s="1">
        <v>1.23</v>
      </c>
      <c r="P765" s="2" t="s">
        <v>73</v>
      </c>
      <c r="Q765" s="14" t="s">
        <v>16</v>
      </c>
    </row>
    <row r="766" spans="1:17" x14ac:dyDescent="0.45">
      <c r="A766" s="10">
        <v>46081</v>
      </c>
      <c r="B766" s="1" t="s">
        <v>837</v>
      </c>
      <c r="C766" s="1" t="s">
        <v>64</v>
      </c>
      <c r="D766" s="1" t="s">
        <v>15</v>
      </c>
      <c r="E766" s="1" t="s">
        <v>62</v>
      </c>
      <c r="F766" s="1" t="s">
        <v>60</v>
      </c>
      <c r="G766" s="1" t="s">
        <v>24</v>
      </c>
      <c r="H766" s="1" t="s">
        <v>30</v>
      </c>
      <c r="I766" s="1">
        <v>157</v>
      </c>
      <c r="J766" s="1">
        <v>40</v>
      </c>
      <c r="K766" s="1">
        <v>0.04</v>
      </c>
      <c r="L766" s="1">
        <v>6280</v>
      </c>
      <c r="M766" s="1">
        <v>6028.8</v>
      </c>
      <c r="N766" s="1">
        <v>7201.21</v>
      </c>
      <c r="O766" s="1">
        <v>0.84</v>
      </c>
      <c r="P766" s="2" t="s">
        <v>52</v>
      </c>
      <c r="Q766" s="13" t="s">
        <v>22</v>
      </c>
    </row>
    <row r="767" spans="1:17" x14ac:dyDescent="0.45">
      <c r="A767" s="10">
        <v>46095</v>
      </c>
      <c r="B767" s="1" t="s">
        <v>838</v>
      </c>
      <c r="C767" s="1" t="s">
        <v>58</v>
      </c>
      <c r="D767" s="1" t="s">
        <v>28</v>
      </c>
      <c r="E767" s="1" t="s">
        <v>59</v>
      </c>
      <c r="F767" s="1" t="s">
        <v>78</v>
      </c>
      <c r="G767" s="1" t="s">
        <v>14</v>
      </c>
      <c r="H767" s="1" t="s">
        <v>27</v>
      </c>
      <c r="I767" s="1">
        <v>36</v>
      </c>
      <c r="J767" s="1">
        <v>120</v>
      </c>
      <c r="K767" s="1">
        <v>0.08</v>
      </c>
      <c r="L767" s="1">
        <v>4320</v>
      </c>
      <c r="M767" s="1">
        <v>3974.4</v>
      </c>
      <c r="N767" s="1">
        <v>3741.88</v>
      </c>
      <c r="O767" s="1">
        <v>1.06</v>
      </c>
      <c r="P767" s="2" t="s">
        <v>52</v>
      </c>
      <c r="Q767" s="14" t="s">
        <v>26</v>
      </c>
    </row>
    <row r="768" spans="1:17" x14ac:dyDescent="0.45">
      <c r="A768" s="10">
        <v>46043</v>
      </c>
      <c r="B768" s="1" t="s">
        <v>839</v>
      </c>
      <c r="C768" s="1" t="s">
        <v>67</v>
      </c>
      <c r="D768" s="1" t="s">
        <v>21</v>
      </c>
      <c r="E768" s="1" t="s">
        <v>80</v>
      </c>
      <c r="F768" s="1" t="s">
        <v>71</v>
      </c>
      <c r="G768" s="1" t="s">
        <v>20</v>
      </c>
      <c r="H768" s="1" t="s">
        <v>33</v>
      </c>
      <c r="I768" s="1">
        <v>153</v>
      </c>
      <c r="J768" s="1">
        <v>35</v>
      </c>
      <c r="K768" s="1">
        <v>0.13</v>
      </c>
      <c r="L768" s="1">
        <v>5355</v>
      </c>
      <c r="M768" s="1">
        <v>4658.8500000000004</v>
      </c>
      <c r="N768" s="1">
        <v>4496.41</v>
      </c>
      <c r="O768" s="1">
        <v>1.04</v>
      </c>
      <c r="P768" s="2" t="s">
        <v>73</v>
      </c>
      <c r="Q768" s="13" t="s">
        <v>16</v>
      </c>
    </row>
    <row r="769" spans="1:17" x14ac:dyDescent="0.45">
      <c r="A769" s="10">
        <v>46073</v>
      </c>
      <c r="B769" s="1" t="s">
        <v>840</v>
      </c>
      <c r="C769" s="1" t="s">
        <v>58</v>
      </c>
      <c r="D769" s="1" t="s">
        <v>28</v>
      </c>
      <c r="E769" s="1" t="s">
        <v>70</v>
      </c>
      <c r="F769" s="1" t="s">
        <v>78</v>
      </c>
      <c r="G769" s="1" t="s">
        <v>24</v>
      </c>
      <c r="H769" s="1" t="s">
        <v>30</v>
      </c>
      <c r="I769" s="1">
        <v>77</v>
      </c>
      <c r="J769" s="1">
        <v>40</v>
      </c>
      <c r="K769" s="1">
        <v>0.09</v>
      </c>
      <c r="L769" s="1">
        <v>3080</v>
      </c>
      <c r="M769" s="1">
        <v>2802.8</v>
      </c>
      <c r="N769" s="1">
        <v>3177.31</v>
      </c>
      <c r="O769" s="1">
        <v>0.88</v>
      </c>
      <c r="P769" s="2" t="s">
        <v>73</v>
      </c>
      <c r="Q769" s="14" t="s">
        <v>22</v>
      </c>
    </row>
    <row r="770" spans="1:17" x14ac:dyDescent="0.45">
      <c r="A770" s="10">
        <v>46174</v>
      </c>
      <c r="B770" s="1" t="s">
        <v>841</v>
      </c>
      <c r="C770" s="1" t="s">
        <v>67</v>
      </c>
      <c r="D770" s="1" t="s">
        <v>15</v>
      </c>
      <c r="E770" s="1" t="s">
        <v>62</v>
      </c>
      <c r="F770" s="1" t="s">
        <v>78</v>
      </c>
      <c r="G770" s="1" t="s">
        <v>14</v>
      </c>
      <c r="H770" s="1" t="s">
        <v>18</v>
      </c>
      <c r="I770" s="1">
        <v>173</v>
      </c>
      <c r="J770" s="1">
        <v>250</v>
      </c>
      <c r="K770" s="1">
        <v>0.08</v>
      </c>
      <c r="L770" s="1">
        <v>43250</v>
      </c>
      <c r="M770" s="1">
        <v>39790</v>
      </c>
      <c r="N770" s="1">
        <v>36717.279999999999</v>
      </c>
      <c r="O770" s="1">
        <v>1.08</v>
      </c>
      <c r="P770" s="2" t="s">
        <v>73</v>
      </c>
      <c r="Q770" s="13" t="s">
        <v>34</v>
      </c>
    </row>
    <row r="771" spans="1:17" x14ac:dyDescent="0.45">
      <c r="A771" s="10">
        <v>46187</v>
      </c>
      <c r="B771" s="1" t="s">
        <v>842</v>
      </c>
      <c r="C771" s="1" t="s">
        <v>75</v>
      </c>
      <c r="D771" s="1" t="s">
        <v>15</v>
      </c>
      <c r="E771" s="1" t="s">
        <v>55</v>
      </c>
      <c r="F771" s="1" t="s">
        <v>95</v>
      </c>
      <c r="G771" s="1" t="s">
        <v>24</v>
      </c>
      <c r="H771" s="1" t="s">
        <v>30</v>
      </c>
      <c r="I771" s="1">
        <v>169</v>
      </c>
      <c r="J771" s="1">
        <v>40</v>
      </c>
      <c r="K771" s="1">
        <v>0.02</v>
      </c>
      <c r="L771" s="1">
        <v>6760</v>
      </c>
      <c r="M771" s="1">
        <v>6624.8</v>
      </c>
      <c r="N771" s="1">
        <v>5425.31</v>
      </c>
      <c r="O771" s="1">
        <v>1.22</v>
      </c>
      <c r="P771" s="2" t="s">
        <v>52</v>
      </c>
      <c r="Q771" s="14" t="s">
        <v>34</v>
      </c>
    </row>
    <row r="772" spans="1:17" x14ac:dyDescent="0.45">
      <c r="A772" s="10">
        <v>46092</v>
      </c>
      <c r="B772" s="1" t="s">
        <v>843</v>
      </c>
      <c r="C772" s="1" t="s">
        <v>75</v>
      </c>
      <c r="D772" s="1" t="s">
        <v>25</v>
      </c>
      <c r="E772" s="1" t="s">
        <v>98</v>
      </c>
      <c r="F772" s="1" t="s">
        <v>56</v>
      </c>
      <c r="G772" s="1" t="s">
        <v>24</v>
      </c>
      <c r="H772" s="1" t="s">
        <v>30</v>
      </c>
      <c r="I772" s="1">
        <v>67</v>
      </c>
      <c r="J772" s="1">
        <v>40</v>
      </c>
      <c r="K772" s="1">
        <v>0.12</v>
      </c>
      <c r="L772" s="1">
        <v>2680</v>
      </c>
      <c r="M772" s="1">
        <v>2358.4</v>
      </c>
      <c r="N772" s="1">
        <v>1945.28</v>
      </c>
      <c r="O772" s="1">
        <v>1.21</v>
      </c>
      <c r="P772" s="2" t="s">
        <v>73</v>
      </c>
      <c r="Q772" s="13" t="s">
        <v>26</v>
      </c>
    </row>
    <row r="773" spans="1:17" x14ac:dyDescent="0.45">
      <c r="A773" s="10">
        <v>46052</v>
      </c>
      <c r="B773" s="1" t="s">
        <v>844</v>
      </c>
      <c r="C773" s="1" t="s">
        <v>58</v>
      </c>
      <c r="D773" s="1" t="s">
        <v>15</v>
      </c>
      <c r="E773" s="1" t="s">
        <v>55</v>
      </c>
      <c r="F773" s="1" t="s">
        <v>60</v>
      </c>
      <c r="G773" s="1" t="s">
        <v>20</v>
      </c>
      <c r="H773" s="1" t="s">
        <v>23</v>
      </c>
      <c r="I773" s="1">
        <v>145</v>
      </c>
      <c r="J773" s="1">
        <v>180</v>
      </c>
      <c r="K773" s="1">
        <v>0.08</v>
      </c>
      <c r="L773" s="1">
        <v>26100</v>
      </c>
      <c r="M773" s="1">
        <v>24012</v>
      </c>
      <c r="N773" s="1">
        <v>26220.39</v>
      </c>
      <c r="O773" s="1">
        <v>0.92</v>
      </c>
      <c r="P773" s="2" t="s">
        <v>52</v>
      </c>
      <c r="Q773" s="14" t="s">
        <v>16</v>
      </c>
    </row>
    <row r="774" spans="1:17" x14ac:dyDescent="0.45">
      <c r="A774" s="10">
        <v>46050</v>
      </c>
      <c r="B774" s="1" t="s">
        <v>845</v>
      </c>
      <c r="C774" s="1" t="s">
        <v>75</v>
      </c>
      <c r="D774" s="1" t="s">
        <v>25</v>
      </c>
      <c r="E774" s="1" t="s">
        <v>68</v>
      </c>
      <c r="F774" s="1" t="s">
        <v>71</v>
      </c>
      <c r="G774" s="1" t="s">
        <v>14</v>
      </c>
      <c r="H774" s="1" t="s">
        <v>27</v>
      </c>
      <c r="I774" s="1">
        <v>164</v>
      </c>
      <c r="J774" s="1">
        <v>120</v>
      </c>
      <c r="K774" s="1">
        <v>0.02</v>
      </c>
      <c r="L774" s="1">
        <v>19680</v>
      </c>
      <c r="M774" s="1">
        <v>19286.400000000001</v>
      </c>
      <c r="N774" s="1">
        <v>18147.509999999998</v>
      </c>
      <c r="O774" s="1">
        <v>1.06</v>
      </c>
      <c r="P774" s="2" t="s">
        <v>73</v>
      </c>
      <c r="Q774" s="13" t="s">
        <v>16</v>
      </c>
    </row>
    <row r="775" spans="1:17" x14ac:dyDescent="0.45">
      <c r="A775" s="10">
        <v>46147</v>
      </c>
      <c r="B775" s="1" t="s">
        <v>846</v>
      </c>
      <c r="C775" s="1" t="s">
        <v>58</v>
      </c>
      <c r="D775" s="1" t="s">
        <v>15</v>
      </c>
      <c r="E775" s="1" t="s">
        <v>62</v>
      </c>
      <c r="F775" s="1" t="s">
        <v>51</v>
      </c>
      <c r="G775" s="1" t="s">
        <v>24</v>
      </c>
      <c r="H775" s="1" t="s">
        <v>35</v>
      </c>
      <c r="I775" s="1">
        <v>87</v>
      </c>
      <c r="J775" s="1">
        <v>30</v>
      </c>
      <c r="K775" s="1">
        <v>0.11</v>
      </c>
      <c r="L775" s="1">
        <v>2610</v>
      </c>
      <c r="M775" s="1">
        <v>2322.9</v>
      </c>
      <c r="N775" s="1">
        <v>1910.94</v>
      </c>
      <c r="O775" s="1">
        <v>1.22</v>
      </c>
      <c r="P775" s="2" t="s">
        <v>73</v>
      </c>
      <c r="Q775" s="14" t="s">
        <v>32</v>
      </c>
    </row>
    <row r="776" spans="1:17" x14ac:dyDescent="0.45">
      <c r="A776" s="10">
        <v>46153</v>
      </c>
      <c r="B776" s="1" t="s">
        <v>847</v>
      </c>
      <c r="C776" s="1" t="s">
        <v>54</v>
      </c>
      <c r="D776" s="1" t="s">
        <v>28</v>
      </c>
      <c r="E776" s="1" t="s">
        <v>65</v>
      </c>
      <c r="F776" s="1" t="s">
        <v>71</v>
      </c>
      <c r="G776" s="1" t="s">
        <v>24</v>
      </c>
      <c r="H776" s="1" t="s">
        <v>35</v>
      </c>
      <c r="I776" s="1">
        <v>102</v>
      </c>
      <c r="J776" s="1">
        <v>30</v>
      </c>
      <c r="K776" s="1">
        <v>7.0000000000000007E-2</v>
      </c>
      <c r="L776" s="1">
        <v>3060</v>
      </c>
      <c r="M776" s="1">
        <v>2845.8</v>
      </c>
      <c r="N776" s="1">
        <v>2730.61</v>
      </c>
      <c r="O776" s="1">
        <v>1.04</v>
      </c>
      <c r="P776" s="2" t="s">
        <v>52</v>
      </c>
      <c r="Q776" s="13" t="s">
        <v>32</v>
      </c>
    </row>
    <row r="777" spans="1:17" x14ac:dyDescent="0.45">
      <c r="A777" s="10">
        <v>46186</v>
      </c>
      <c r="B777" s="1" t="s">
        <v>848</v>
      </c>
      <c r="C777" s="1" t="s">
        <v>64</v>
      </c>
      <c r="D777" s="1" t="s">
        <v>15</v>
      </c>
      <c r="E777" s="1" t="s">
        <v>55</v>
      </c>
      <c r="F777" s="1" t="s">
        <v>71</v>
      </c>
      <c r="G777" s="1" t="s">
        <v>14</v>
      </c>
      <c r="H777" s="1" t="s">
        <v>18</v>
      </c>
      <c r="I777" s="1">
        <v>57</v>
      </c>
      <c r="J777" s="1">
        <v>250</v>
      </c>
      <c r="K777" s="1">
        <v>0</v>
      </c>
      <c r="L777" s="1">
        <v>14250</v>
      </c>
      <c r="M777" s="1">
        <v>14250</v>
      </c>
      <c r="N777" s="1">
        <v>12666.08</v>
      </c>
      <c r="O777" s="1">
        <v>1.1299999999999999</v>
      </c>
      <c r="P777" s="2" t="s">
        <v>52</v>
      </c>
      <c r="Q777" s="14" t="s">
        <v>34</v>
      </c>
    </row>
    <row r="778" spans="1:17" x14ac:dyDescent="0.45">
      <c r="A778" s="10">
        <v>46152</v>
      </c>
      <c r="B778" s="1" t="s">
        <v>849</v>
      </c>
      <c r="C778" s="1" t="s">
        <v>54</v>
      </c>
      <c r="D778" s="1" t="s">
        <v>21</v>
      </c>
      <c r="E778" s="1" t="s">
        <v>50</v>
      </c>
      <c r="F778" s="1" t="s">
        <v>60</v>
      </c>
      <c r="G778" s="1" t="s">
        <v>14</v>
      </c>
      <c r="H778" s="1" t="s">
        <v>27</v>
      </c>
      <c r="I778" s="1">
        <v>21</v>
      </c>
      <c r="J778" s="1">
        <v>120</v>
      </c>
      <c r="K778" s="1">
        <v>0.08</v>
      </c>
      <c r="L778" s="1">
        <v>2520</v>
      </c>
      <c r="M778" s="1">
        <v>2318.4</v>
      </c>
      <c r="N778" s="1">
        <v>2375.61</v>
      </c>
      <c r="O778" s="1">
        <v>0.98</v>
      </c>
      <c r="P778" s="2" t="s">
        <v>52</v>
      </c>
      <c r="Q778" s="13" t="s">
        <v>32</v>
      </c>
    </row>
    <row r="779" spans="1:17" x14ac:dyDescent="0.45">
      <c r="A779" s="10">
        <v>46105</v>
      </c>
      <c r="B779" s="1" t="s">
        <v>850</v>
      </c>
      <c r="C779" s="1" t="s">
        <v>64</v>
      </c>
      <c r="D779" s="1" t="s">
        <v>15</v>
      </c>
      <c r="E779" s="1" t="s">
        <v>62</v>
      </c>
      <c r="F779" s="1" t="s">
        <v>51</v>
      </c>
      <c r="G779" s="1" t="s">
        <v>20</v>
      </c>
      <c r="H779" s="1" t="s">
        <v>33</v>
      </c>
      <c r="I779" s="1">
        <v>52</v>
      </c>
      <c r="J779" s="1">
        <v>35</v>
      </c>
      <c r="K779" s="1">
        <v>0.1</v>
      </c>
      <c r="L779" s="1">
        <v>1820</v>
      </c>
      <c r="M779" s="1">
        <v>1638</v>
      </c>
      <c r="N779" s="1">
        <v>1863.37</v>
      </c>
      <c r="O779" s="1">
        <v>0.88</v>
      </c>
      <c r="P779" s="2" t="s">
        <v>52</v>
      </c>
      <c r="Q779" s="14" t="s">
        <v>26</v>
      </c>
    </row>
    <row r="780" spans="1:17" x14ac:dyDescent="0.45">
      <c r="A780" s="10">
        <v>46079</v>
      </c>
      <c r="B780" s="1" t="s">
        <v>851</v>
      </c>
      <c r="C780" s="1" t="s">
        <v>58</v>
      </c>
      <c r="D780" s="1" t="s">
        <v>21</v>
      </c>
      <c r="E780" s="1" t="s">
        <v>80</v>
      </c>
      <c r="F780" s="1" t="s">
        <v>60</v>
      </c>
      <c r="G780" s="1" t="s">
        <v>14</v>
      </c>
      <c r="H780" s="1" t="s">
        <v>18</v>
      </c>
      <c r="I780" s="1">
        <v>200</v>
      </c>
      <c r="J780" s="1">
        <v>250</v>
      </c>
      <c r="K780" s="1">
        <v>0.09</v>
      </c>
      <c r="L780" s="1">
        <v>50000</v>
      </c>
      <c r="M780" s="1">
        <v>45500</v>
      </c>
      <c r="N780" s="1">
        <v>42324.04</v>
      </c>
      <c r="O780" s="1">
        <v>1.08</v>
      </c>
      <c r="P780" s="2" t="s">
        <v>73</v>
      </c>
      <c r="Q780" s="13" t="s">
        <v>22</v>
      </c>
    </row>
    <row r="781" spans="1:17" x14ac:dyDescent="0.45">
      <c r="A781" s="10">
        <v>46120</v>
      </c>
      <c r="B781" s="1" t="s">
        <v>852</v>
      </c>
      <c r="C781" s="1" t="s">
        <v>49</v>
      </c>
      <c r="D781" s="1" t="s">
        <v>15</v>
      </c>
      <c r="E781" s="1" t="s">
        <v>55</v>
      </c>
      <c r="F781" s="1" t="s">
        <v>95</v>
      </c>
      <c r="G781" s="1" t="s">
        <v>14</v>
      </c>
      <c r="H781" s="1" t="s">
        <v>18</v>
      </c>
      <c r="I781" s="1">
        <v>115</v>
      </c>
      <c r="J781" s="1">
        <v>250</v>
      </c>
      <c r="K781" s="1">
        <v>0.01</v>
      </c>
      <c r="L781" s="1">
        <v>28750</v>
      </c>
      <c r="M781" s="1">
        <v>28462.5</v>
      </c>
      <c r="N781" s="1">
        <v>32940.720000000001</v>
      </c>
      <c r="O781" s="1">
        <v>0.86</v>
      </c>
      <c r="P781" s="2" t="s">
        <v>52</v>
      </c>
      <c r="Q781" s="14" t="s">
        <v>29</v>
      </c>
    </row>
    <row r="782" spans="1:17" x14ac:dyDescent="0.45">
      <c r="A782" s="10">
        <v>46065</v>
      </c>
      <c r="B782" s="1" t="s">
        <v>853</v>
      </c>
      <c r="C782" s="1" t="s">
        <v>49</v>
      </c>
      <c r="D782" s="1" t="s">
        <v>15</v>
      </c>
      <c r="E782" s="1" t="s">
        <v>62</v>
      </c>
      <c r="F782" s="1" t="s">
        <v>51</v>
      </c>
      <c r="G782" s="1" t="s">
        <v>14</v>
      </c>
      <c r="H782" s="1" t="s">
        <v>27</v>
      </c>
      <c r="I782" s="1">
        <v>34</v>
      </c>
      <c r="J782" s="1">
        <v>120</v>
      </c>
      <c r="K782" s="1">
        <v>0.08</v>
      </c>
      <c r="L782" s="1">
        <v>4080</v>
      </c>
      <c r="M782" s="1">
        <v>3753.6</v>
      </c>
      <c r="N782" s="1">
        <v>4388.43</v>
      </c>
      <c r="O782" s="1">
        <v>0.86</v>
      </c>
      <c r="P782" s="2" t="s">
        <v>73</v>
      </c>
      <c r="Q782" s="13" t="s">
        <v>22</v>
      </c>
    </row>
    <row r="783" spans="1:17" x14ac:dyDescent="0.45">
      <c r="A783" s="10">
        <v>46116</v>
      </c>
      <c r="B783" s="1" t="s">
        <v>854</v>
      </c>
      <c r="C783" s="1" t="s">
        <v>58</v>
      </c>
      <c r="D783" s="1" t="s">
        <v>28</v>
      </c>
      <c r="E783" s="1" t="s">
        <v>82</v>
      </c>
      <c r="F783" s="1" t="s">
        <v>78</v>
      </c>
      <c r="G783" s="1" t="s">
        <v>24</v>
      </c>
      <c r="H783" s="1" t="s">
        <v>35</v>
      </c>
      <c r="I783" s="1">
        <v>14</v>
      </c>
      <c r="J783" s="1">
        <v>30</v>
      </c>
      <c r="K783" s="1">
        <v>0.08</v>
      </c>
      <c r="L783" s="1">
        <v>420</v>
      </c>
      <c r="M783" s="1">
        <v>386.4</v>
      </c>
      <c r="N783" s="1">
        <v>443.08</v>
      </c>
      <c r="O783" s="1">
        <v>0.87</v>
      </c>
      <c r="P783" s="2" t="s">
        <v>52</v>
      </c>
      <c r="Q783" s="14" t="s">
        <v>29</v>
      </c>
    </row>
    <row r="784" spans="1:17" x14ac:dyDescent="0.45">
      <c r="A784" s="10">
        <v>46084</v>
      </c>
      <c r="B784" s="1" t="s">
        <v>855</v>
      </c>
      <c r="C784" s="1" t="s">
        <v>49</v>
      </c>
      <c r="D784" s="1" t="s">
        <v>21</v>
      </c>
      <c r="E784" s="1" t="s">
        <v>80</v>
      </c>
      <c r="F784" s="1" t="s">
        <v>56</v>
      </c>
      <c r="G784" s="1" t="s">
        <v>24</v>
      </c>
      <c r="H784" s="1" t="s">
        <v>35</v>
      </c>
      <c r="I784" s="1">
        <v>179</v>
      </c>
      <c r="J784" s="1">
        <v>30</v>
      </c>
      <c r="K784" s="1">
        <v>0.01</v>
      </c>
      <c r="L784" s="1">
        <v>5370</v>
      </c>
      <c r="M784" s="1">
        <v>5316.3</v>
      </c>
      <c r="N784" s="1">
        <v>4747.5200000000004</v>
      </c>
      <c r="O784" s="1">
        <v>1.1200000000000001</v>
      </c>
      <c r="P784" s="2" t="s">
        <v>73</v>
      </c>
      <c r="Q784" s="13" t="s">
        <v>26</v>
      </c>
    </row>
    <row r="785" spans="1:17" x14ac:dyDescent="0.45">
      <c r="A785" s="10">
        <v>46115</v>
      </c>
      <c r="B785" s="1" t="s">
        <v>856</v>
      </c>
      <c r="C785" s="1" t="s">
        <v>49</v>
      </c>
      <c r="D785" s="1" t="s">
        <v>15</v>
      </c>
      <c r="E785" s="1" t="s">
        <v>55</v>
      </c>
      <c r="F785" s="1" t="s">
        <v>51</v>
      </c>
      <c r="G785" s="1" t="s">
        <v>24</v>
      </c>
      <c r="H785" s="1" t="s">
        <v>30</v>
      </c>
      <c r="I785" s="1">
        <v>106</v>
      </c>
      <c r="J785" s="1">
        <v>40</v>
      </c>
      <c r="K785" s="1">
        <v>0</v>
      </c>
      <c r="L785" s="1">
        <v>4240</v>
      </c>
      <c r="M785" s="1">
        <v>4240</v>
      </c>
      <c r="N785" s="1">
        <v>3989.91</v>
      </c>
      <c r="O785" s="1">
        <v>1.06</v>
      </c>
      <c r="P785" s="2" t="s">
        <v>73</v>
      </c>
      <c r="Q785" s="14" t="s">
        <v>29</v>
      </c>
    </row>
    <row r="786" spans="1:17" x14ac:dyDescent="0.45">
      <c r="A786" s="10">
        <v>46078</v>
      </c>
      <c r="B786" s="1" t="s">
        <v>857</v>
      </c>
      <c r="C786" s="1" t="s">
        <v>67</v>
      </c>
      <c r="D786" s="1" t="s">
        <v>25</v>
      </c>
      <c r="E786" s="1" t="s">
        <v>98</v>
      </c>
      <c r="F786" s="1" t="s">
        <v>71</v>
      </c>
      <c r="G786" s="1" t="s">
        <v>14</v>
      </c>
      <c r="H786" s="1" t="s">
        <v>18</v>
      </c>
      <c r="I786" s="1">
        <v>115</v>
      </c>
      <c r="J786" s="1">
        <v>250</v>
      </c>
      <c r="K786" s="1">
        <v>0.05</v>
      </c>
      <c r="L786" s="1">
        <v>28750</v>
      </c>
      <c r="M786" s="1">
        <v>27312.5</v>
      </c>
      <c r="N786" s="1">
        <v>26475.81</v>
      </c>
      <c r="O786" s="1">
        <v>1.03</v>
      </c>
      <c r="P786" s="2" t="s">
        <v>52</v>
      </c>
      <c r="Q786" s="13" t="s">
        <v>22</v>
      </c>
    </row>
    <row r="787" spans="1:17" x14ac:dyDescent="0.45">
      <c r="A787" s="10">
        <v>46121</v>
      </c>
      <c r="B787" s="1" t="s">
        <v>858</v>
      </c>
      <c r="C787" s="1" t="s">
        <v>67</v>
      </c>
      <c r="D787" s="1" t="s">
        <v>28</v>
      </c>
      <c r="E787" s="1" t="s">
        <v>70</v>
      </c>
      <c r="F787" s="1" t="s">
        <v>78</v>
      </c>
      <c r="G787" s="1" t="s">
        <v>24</v>
      </c>
      <c r="H787" s="1" t="s">
        <v>35</v>
      </c>
      <c r="I787" s="1">
        <v>44</v>
      </c>
      <c r="J787" s="1">
        <v>30</v>
      </c>
      <c r="K787" s="1">
        <v>0.08</v>
      </c>
      <c r="L787" s="1">
        <v>1320</v>
      </c>
      <c r="M787" s="1">
        <v>1214.4000000000001</v>
      </c>
      <c r="N787" s="1">
        <v>1266.5</v>
      </c>
      <c r="O787" s="1">
        <v>0.96</v>
      </c>
      <c r="P787" s="2" t="s">
        <v>52</v>
      </c>
      <c r="Q787" s="14" t="s">
        <v>29</v>
      </c>
    </row>
    <row r="788" spans="1:17" x14ac:dyDescent="0.45">
      <c r="A788" s="10">
        <v>46185</v>
      </c>
      <c r="B788" s="1" t="s">
        <v>859</v>
      </c>
      <c r="C788" s="1" t="s">
        <v>67</v>
      </c>
      <c r="D788" s="1" t="s">
        <v>25</v>
      </c>
      <c r="E788" s="1" t="s">
        <v>68</v>
      </c>
      <c r="F788" s="1" t="s">
        <v>78</v>
      </c>
      <c r="G788" s="1" t="s">
        <v>20</v>
      </c>
      <c r="H788" s="1" t="s">
        <v>33</v>
      </c>
      <c r="I788" s="1">
        <v>185</v>
      </c>
      <c r="J788" s="1">
        <v>35</v>
      </c>
      <c r="K788" s="1">
        <v>0.15</v>
      </c>
      <c r="L788" s="1">
        <v>6475</v>
      </c>
      <c r="M788" s="1">
        <v>5503.75</v>
      </c>
      <c r="N788" s="1">
        <v>5283.07</v>
      </c>
      <c r="O788" s="1">
        <v>1.04</v>
      </c>
      <c r="P788" s="2" t="s">
        <v>52</v>
      </c>
      <c r="Q788" s="13" t="s">
        <v>34</v>
      </c>
    </row>
    <row r="789" spans="1:17" x14ac:dyDescent="0.45">
      <c r="A789" s="10">
        <v>46084</v>
      </c>
      <c r="B789" s="1" t="s">
        <v>860</v>
      </c>
      <c r="C789" s="1" t="s">
        <v>64</v>
      </c>
      <c r="D789" s="1" t="s">
        <v>28</v>
      </c>
      <c r="E789" s="1" t="s">
        <v>65</v>
      </c>
      <c r="F789" s="1" t="s">
        <v>95</v>
      </c>
      <c r="G789" s="1" t="s">
        <v>20</v>
      </c>
      <c r="H789" s="1" t="s">
        <v>23</v>
      </c>
      <c r="I789" s="1">
        <v>136</v>
      </c>
      <c r="J789" s="1">
        <v>180</v>
      </c>
      <c r="K789" s="1">
        <v>0.06</v>
      </c>
      <c r="L789" s="1">
        <v>24480</v>
      </c>
      <c r="M789" s="1">
        <v>23011.200000000001</v>
      </c>
      <c r="N789" s="1">
        <v>23536.880000000001</v>
      </c>
      <c r="O789" s="1">
        <v>0.98</v>
      </c>
      <c r="P789" s="2" t="s">
        <v>73</v>
      </c>
      <c r="Q789" s="14" t="s">
        <v>26</v>
      </c>
    </row>
    <row r="790" spans="1:17" x14ac:dyDescent="0.45">
      <c r="A790" s="10">
        <v>46109</v>
      </c>
      <c r="B790" s="1" t="s">
        <v>861</v>
      </c>
      <c r="C790" s="1" t="s">
        <v>67</v>
      </c>
      <c r="D790" s="1" t="s">
        <v>15</v>
      </c>
      <c r="E790" s="1" t="s">
        <v>62</v>
      </c>
      <c r="F790" s="1" t="s">
        <v>60</v>
      </c>
      <c r="G790" s="1" t="s">
        <v>24</v>
      </c>
      <c r="H790" s="1" t="s">
        <v>35</v>
      </c>
      <c r="I790" s="1">
        <v>25</v>
      </c>
      <c r="J790" s="1">
        <v>30</v>
      </c>
      <c r="K790" s="1">
        <v>0.12</v>
      </c>
      <c r="L790" s="1">
        <v>750</v>
      </c>
      <c r="M790" s="1">
        <v>660</v>
      </c>
      <c r="N790" s="1">
        <v>731.39</v>
      </c>
      <c r="O790" s="1">
        <v>0.9</v>
      </c>
      <c r="P790" s="2" t="s">
        <v>52</v>
      </c>
      <c r="Q790" s="13" t="s">
        <v>26</v>
      </c>
    </row>
    <row r="791" spans="1:17" x14ac:dyDescent="0.45">
      <c r="A791" s="10">
        <v>46176</v>
      </c>
      <c r="B791" s="1" t="s">
        <v>862</v>
      </c>
      <c r="C791" s="1" t="s">
        <v>58</v>
      </c>
      <c r="D791" s="1" t="s">
        <v>21</v>
      </c>
      <c r="E791" s="1" t="s">
        <v>50</v>
      </c>
      <c r="F791" s="1" t="s">
        <v>51</v>
      </c>
      <c r="G791" s="1" t="s">
        <v>14</v>
      </c>
      <c r="H791" s="1" t="s">
        <v>18</v>
      </c>
      <c r="I791" s="1">
        <v>162</v>
      </c>
      <c r="J791" s="1">
        <v>250</v>
      </c>
      <c r="K791" s="1">
        <v>0.02</v>
      </c>
      <c r="L791" s="1">
        <v>40500</v>
      </c>
      <c r="M791" s="1">
        <v>39690</v>
      </c>
      <c r="N791" s="1">
        <v>42346.09</v>
      </c>
      <c r="O791" s="1">
        <v>0.94</v>
      </c>
      <c r="P791" s="2" t="s">
        <v>73</v>
      </c>
      <c r="Q791" s="14" t="s">
        <v>34</v>
      </c>
    </row>
    <row r="792" spans="1:17" x14ac:dyDescent="0.45">
      <c r="A792" s="10">
        <v>46189</v>
      </c>
      <c r="B792" s="1" t="s">
        <v>863</v>
      </c>
      <c r="C792" s="1" t="s">
        <v>58</v>
      </c>
      <c r="D792" s="1" t="s">
        <v>25</v>
      </c>
      <c r="E792" s="1" t="s">
        <v>68</v>
      </c>
      <c r="F792" s="1" t="s">
        <v>78</v>
      </c>
      <c r="G792" s="1" t="s">
        <v>14</v>
      </c>
      <c r="H792" s="1" t="s">
        <v>27</v>
      </c>
      <c r="I792" s="1">
        <v>138</v>
      </c>
      <c r="J792" s="1">
        <v>120</v>
      </c>
      <c r="K792" s="1">
        <v>0.14000000000000001</v>
      </c>
      <c r="L792" s="1">
        <v>16560</v>
      </c>
      <c r="M792" s="1">
        <v>14241.6</v>
      </c>
      <c r="N792" s="1">
        <v>15725.08</v>
      </c>
      <c r="O792" s="1">
        <v>0.91</v>
      </c>
      <c r="P792" s="2" t="s">
        <v>52</v>
      </c>
      <c r="Q792" s="13" t="s">
        <v>34</v>
      </c>
    </row>
    <row r="793" spans="1:17" x14ac:dyDescent="0.45">
      <c r="A793" s="10">
        <v>46147</v>
      </c>
      <c r="B793" s="1" t="s">
        <v>864</v>
      </c>
      <c r="C793" s="1" t="s">
        <v>58</v>
      </c>
      <c r="D793" s="1" t="s">
        <v>28</v>
      </c>
      <c r="E793" s="1" t="s">
        <v>59</v>
      </c>
      <c r="F793" s="1" t="s">
        <v>95</v>
      </c>
      <c r="G793" s="1" t="s">
        <v>20</v>
      </c>
      <c r="H793" s="1" t="s">
        <v>33</v>
      </c>
      <c r="I793" s="1">
        <v>33</v>
      </c>
      <c r="J793" s="1">
        <v>35</v>
      </c>
      <c r="K793" s="1">
        <v>0.13</v>
      </c>
      <c r="L793" s="1">
        <v>1155</v>
      </c>
      <c r="M793" s="1">
        <v>1004.85</v>
      </c>
      <c r="N793" s="1">
        <v>1078.8</v>
      </c>
      <c r="O793" s="1">
        <v>0.93</v>
      </c>
      <c r="P793" s="2" t="s">
        <v>52</v>
      </c>
      <c r="Q793" s="14" t="s">
        <v>32</v>
      </c>
    </row>
    <row r="794" spans="1:17" x14ac:dyDescent="0.45">
      <c r="A794" s="10">
        <v>46076</v>
      </c>
      <c r="B794" s="1" t="s">
        <v>865</v>
      </c>
      <c r="C794" s="1" t="s">
        <v>54</v>
      </c>
      <c r="D794" s="1" t="s">
        <v>21</v>
      </c>
      <c r="E794" s="1" t="s">
        <v>80</v>
      </c>
      <c r="F794" s="1" t="s">
        <v>71</v>
      </c>
      <c r="G794" s="1" t="s">
        <v>20</v>
      </c>
      <c r="H794" s="1" t="s">
        <v>33</v>
      </c>
      <c r="I794" s="1">
        <v>96</v>
      </c>
      <c r="J794" s="1">
        <v>35</v>
      </c>
      <c r="K794" s="1">
        <v>7.0000000000000007E-2</v>
      </c>
      <c r="L794" s="1">
        <v>3360</v>
      </c>
      <c r="M794" s="1">
        <v>3124.8</v>
      </c>
      <c r="N794" s="1">
        <v>3493.43</v>
      </c>
      <c r="O794" s="1">
        <v>0.89</v>
      </c>
      <c r="P794" s="2" t="s">
        <v>73</v>
      </c>
      <c r="Q794" s="13" t="s">
        <v>22</v>
      </c>
    </row>
    <row r="795" spans="1:17" x14ac:dyDescent="0.45">
      <c r="A795" s="10">
        <v>46133</v>
      </c>
      <c r="B795" s="1" t="s">
        <v>866</v>
      </c>
      <c r="C795" s="1" t="s">
        <v>54</v>
      </c>
      <c r="D795" s="1" t="s">
        <v>25</v>
      </c>
      <c r="E795" s="1" t="s">
        <v>104</v>
      </c>
      <c r="F795" s="1" t="s">
        <v>60</v>
      </c>
      <c r="G795" s="1" t="s">
        <v>14</v>
      </c>
      <c r="H795" s="1" t="s">
        <v>27</v>
      </c>
      <c r="I795" s="1">
        <v>165</v>
      </c>
      <c r="J795" s="1">
        <v>120</v>
      </c>
      <c r="K795" s="1">
        <v>0.12</v>
      </c>
      <c r="L795" s="1">
        <v>19800</v>
      </c>
      <c r="M795" s="1">
        <v>17424</v>
      </c>
      <c r="N795" s="1">
        <v>19553.3</v>
      </c>
      <c r="O795" s="1">
        <v>0.89</v>
      </c>
      <c r="P795" s="2" t="s">
        <v>52</v>
      </c>
      <c r="Q795" s="14" t="s">
        <v>29</v>
      </c>
    </row>
    <row r="796" spans="1:17" x14ac:dyDescent="0.45">
      <c r="A796" s="10">
        <v>46076</v>
      </c>
      <c r="B796" s="1" t="s">
        <v>867</v>
      </c>
      <c r="C796" s="1" t="s">
        <v>64</v>
      </c>
      <c r="D796" s="1" t="s">
        <v>15</v>
      </c>
      <c r="E796" s="1" t="s">
        <v>55</v>
      </c>
      <c r="F796" s="1" t="s">
        <v>51</v>
      </c>
      <c r="G796" s="1" t="s">
        <v>20</v>
      </c>
      <c r="H796" s="1" t="s">
        <v>33</v>
      </c>
      <c r="I796" s="1">
        <v>91</v>
      </c>
      <c r="J796" s="1">
        <v>35</v>
      </c>
      <c r="K796" s="1">
        <v>0.05</v>
      </c>
      <c r="L796" s="1">
        <v>3185</v>
      </c>
      <c r="M796" s="1">
        <v>3025.75</v>
      </c>
      <c r="N796" s="1">
        <v>2918.13</v>
      </c>
      <c r="O796" s="1">
        <v>1.04</v>
      </c>
      <c r="P796" s="2" t="s">
        <v>52</v>
      </c>
      <c r="Q796" s="13" t="s">
        <v>22</v>
      </c>
    </row>
    <row r="797" spans="1:17" x14ac:dyDescent="0.45">
      <c r="A797" s="10">
        <v>46173</v>
      </c>
      <c r="B797" s="1" t="s">
        <v>868</v>
      </c>
      <c r="C797" s="1" t="s">
        <v>49</v>
      </c>
      <c r="D797" s="1" t="s">
        <v>21</v>
      </c>
      <c r="E797" s="1" t="s">
        <v>50</v>
      </c>
      <c r="F797" s="1" t="s">
        <v>95</v>
      </c>
      <c r="G797" s="1" t="s">
        <v>20</v>
      </c>
      <c r="H797" s="1" t="s">
        <v>23</v>
      </c>
      <c r="I797" s="1">
        <v>96</v>
      </c>
      <c r="J797" s="1">
        <v>180</v>
      </c>
      <c r="K797" s="1">
        <v>0.15</v>
      </c>
      <c r="L797" s="1">
        <v>17280</v>
      </c>
      <c r="M797" s="1">
        <v>14688</v>
      </c>
      <c r="N797" s="1">
        <v>13819.04</v>
      </c>
      <c r="O797" s="1">
        <v>1.06</v>
      </c>
      <c r="P797" s="2" t="s">
        <v>52</v>
      </c>
      <c r="Q797" s="14" t="s">
        <v>32</v>
      </c>
    </row>
    <row r="798" spans="1:17" x14ac:dyDescent="0.45">
      <c r="A798" s="10">
        <v>46071</v>
      </c>
      <c r="B798" s="1" t="s">
        <v>869</v>
      </c>
      <c r="C798" s="1" t="s">
        <v>54</v>
      </c>
      <c r="D798" s="1" t="s">
        <v>21</v>
      </c>
      <c r="E798" s="1" t="s">
        <v>50</v>
      </c>
      <c r="F798" s="1" t="s">
        <v>60</v>
      </c>
      <c r="G798" s="1" t="s">
        <v>14</v>
      </c>
      <c r="H798" s="1" t="s">
        <v>27</v>
      </c>
      <c r="I798" s="1">
        <v>15</v>
      </c>
      <c r="J798" s="1">
        <v>120</v>
      </c>
      <c r="K798" s="1">
        <v>7.0000000000000007E-2</v>
      </c>
      <c r="L798" s="1">
        <v>1800</v>
      </c>
      <c r="M798" s="1">
        <v>1674</v>
      </c>
      <c r="N798" s="1">
        <v>1546.28</v>
      </c>
      <c r="O798" s="1">
        <v>1.08</v>
      </c>
      <c r="P798" s="2" t="s">
        <v>52</v>
      </c>
      <c r="Q798" s="13" t="s">
        <v>22</v>
      </c>
    </row>
    <row r="799" spans="1:17" x14ac:dyDescent="0.45">
      <c r="A799" s="10">
        <v>46176</v>
      </c>
      <c r="B799" s="1" t="s">
        <v>870</v>
      </c>
      <c r="C799" s="1" t="s">
        <v>67</v>
      </c>
      <c r="D799" s="1" t="s">
        <v>28</v>
      </c>
      <c r="E799" s="1" t="s">
        <v>70</v>
      </c>
      <c r="F799" s="1" t="s">
        <v>71</v>
      </c>
      <c r="G799" s="1" t="s">
        <v>20</v>
      </c>
      <c r="H799" s="1" t="s">
        <v>23</v>
      </c>
      <c r="I799" s="1">
        <v>154</v>
      </c>
      <c r="J799" s="1">
        <v>180</v>
      </c>
      <c r="K799" s="1">
        <v>0.1</v>
      </c>
      <c r="L799" s="1">
        <v>27720</v>
      </c>
      <c r="M799" s="1">
        <v>24948</v>
      </c>
      <c r="N799" s="1">
        <v>28782.5</v>
      </c>
      <c r="O799" s="1">
        <v>0.87</v>
      </c>
      <c r="P799" s="2" t="s">
        <v>52</v>
      </c>
      <c r="Q799" s="14" t="s">
        <v>34</v>
      </c>
    </row>
    <row r="800" spans="1:17" x14ac:dyDescent="0.45">
      <c r="A800" s="10">
        <v>46182</v>
      </c>
      <c r="B800" s="1" t="s">
        <v>871</v>
      </c>
      <c r="C800" s="1" t="s">
        <v>49</v>
      </c>
      <c r="D800" s="1" t="s">
        <v>15</v>
      </c>
      <c r="E800" s="1" t="s">
        <v>55</v>
      </c>
      <c r="F800" s="1" t="s">
        <v>60</v>
      </c>
      <c r="G800" s="1" t="s">
        <v>14</v>
      </c>
      <c r="H800" s="1" t="s">
        <v>18</v>
      </c>
      <c r="I800" s="1">
        <v>136</v>
      </c>
      <c r="J800" s="1">
        <v>250</v>
      </c>
      <c r="K800" s="1">
        <v>0.01</v>
      </c>
      <c r="L800" s="1">
        <v>34000</v>
      </c>
      <c r="M800" s="1">
        <v>33660</v>
      </c>
      <c r="N800" s="1">
        <v>33738.15</v>
      </c>
      <c r="O800" s="1">
        <v>1</v>
      </c>
      <c r="P800" s="2" t="s">
        <v>52</v>
      </c>
      <c r="Q800" s="13" t="s">
        <v>34</v>
      </c>
    </row>
    <row r="801" spans="1:17" x14ac:dyDescent="0.45">
      <c r="A801" s="10">
        <v>46064</v>
      </c>
      <c r="B801" s="1" t="s">
        <v>872</v>
      </c>
      <c r="C801" s="1" t="s">
        <v>58</v>
      </c>
      <c r="D801" s="1" t="s">
        <v>25</v>
      </c>
      <c r="E801" s="1" t="s">
        <v>98</v>
      </c>
      <c r="F801" s="1" t="s">
        <v>95</v>
      </c>
      <c r="G801" s="1" t="s">
        <v>20</v>
      </c>
      <c r="H801" s="1" t="s">
        <v>33</v>
      </c>
      <c r="I801" s="1">
        <v>21</v>
      </c>
      <c r="J801" s="1">
        <v>35</v>
      </c>
      <c r="K801" s="1">
        <v>0.12</v>
      </c>
      <c r="L801" s="1">
        <v>735</v>
      </c>
      <c r="M801" s="1">
        <v>646.79999999999995</v>
      </c>
      <c r="N801" s="1">
        <v>710.11</v>
      </c>
      <c r="O801" s="1">
        <v>0.91</v>
      </c>
      <c r="P801" s="2" t="s">
        <v>73</v>
      </c>
      <c r="Q801" s="14" t="s">
        <v>22</v>
      </c>
    </row>
    <row r="802" spans="1:17" x14ac:dyDescent="0.45">
      <c r="A802" s="10">
        <v>46037</v>
      </c>
      <c r="B802" s="1" t="s">
        <v>873</v>
      </c>
      <c r="C802" s="1" t="s">
        <v>67</v>
      </c>
      <c r="D802" s="1" t="s">
        <v>15</v>
      </c>
      <c r="E802" s="1" t="s">
        <v>55</v>
      </c>
      <c r="F802" s="1" t="s">
        <v>95</v>
      </c>
      <c r="G802" s="1" t="s">
        <v>14</v>
      </c>
      <c r="H802" s="1" t="s">
        <v>18</v>
      </c>
      <c r="I802" s="1">
        <v>42</v>
      </c>
      <c r="J802" s="1">
        <v>250</v>
      </c>
      <c r="K802" s="1">
        <v>0.05</v>
      </c>
      <c r="L802" s="1">
        <v>10500</v>
      </c>
      <c r="M802" s="1">
        <v>9975</v>
      </c>
      <c r="N802" s="1">
        <v>8482.2099999999991</v>
      </c>
      <c r="O802" s="1">
        <v>1.18</v>
      </c>
      <c r="P802" s="2" t="s">
        <v>73</v>
      </c>
      <c r="Q802" s="13" t="s">
        <v>16</v>
      </c>
    </row>
    <row r="803" spans="1:17" x14ac:dyDescent="0.45">
      <c r="A803" s="10">
        <v>46084</v>
      </c>
      <c r="B803" s="1" t="s">
        <v>874</v>
      </c>
      <c r="C803" s="1" t="s">
        <v>75</v>
      </c>
      <c r="D803" s="1" t="s">
        <v>28</v>
      </c>
      <c r="E803" s="1" t="s">
        <v>65</v>
      </c>
      <c r="F803" s="1" t="s">
        <v>56</v>
      </c>
      <c r="G803" s="1" t="s">
        <v>20</v>
      </c>
      <c r="H803" s="1" t="s">
        <v>23</v>
      </c>
      <c r="I803" s="1">
        <v>114</v>
      </c>
      <c r="J803" s="1">
        <v>180</v>
      </c>
      <c r="K803" s="1">
        <v>0.06</v>
      </c>
      <c r="L803" s="1">
        <v>20520</v>
      </c>
      <c r="M803" s="1">
        <v>19288.8</v>
      </c>
      <c r="N803" s="1">
        <v>22415.18</v>
      </c>
      <c r="O803" s="1">
        <v>0.86</v>
      </c>
      <c r="P803" s="2" t="s">
        <v>52</v>
      </c>
      <c r="Q803" s="14" t="s">
        <v>26</v>
      </c>
    </row>
    <row r="804" spans="1:17" x14ac:dyDescent="0.45">
      <c r="A804" s="10">
        <v>46117</v>
      </c>
      <c r="B804" s="1" t="s">
        <v>875</v>
      </c>
      <c r="C804" s="1" t="s">
        <v>49</v>
      </c>
      <c r="D804" s="1" t="s">
        <v>25</v>
      </c>
      <c r="E804" s="1" t="s">
        <v>98</v>
      </c>
      <c r="F804" s="1" t="s">
        <v>71</v>
      </c>
      <c r="G804" s="1" t="s">
        <v>20</v>
      </c>
      <c r="H804" s="1" t="s">
        <v>33</v>
      </c>
      <c r="I804" s="1">
        <v>66</v>
      </c>
      <c r="J804" s="1">
        <v>35</v>
      </c>
      <c r="K804" s="1">
        <v>0.06</v>
      </c>
      <c r="L804" s="1">
        <v>2310</v>
      </c>
      <c r="M804" s="1">
        <v>2171.4</v>
      </c>
      <c r="N804" s="1">
        <v>2198.14</v>
      </c>
      <c r="O804" s="1">
        <v>0.99</v>
      </c>
      <c r="P804" s="2" t="s">
        <v>52</v>
      </c>
      <c r="Q804" s="13" t="s">
        <v>29</v>
      </c>
    </row>
    <row r="805" spans="1:17" x14ac:dyDescent="0.45">
      <c r="A805" s="10">
        <v>46061</v>
      </c>
      <c r="B805" s="1" t="s">
        <v>876</v>
      </c>
      <c r="C805" s="1" t="s">
        <v>75</v>
      </c>
      <c r="D805" s="1" t="s">
        <v>25</v>
      </c>
      <c r="E805" s="1" t="s">
        <v>104</v>
      </c>
      <c r="F805" s="1" t="s">
        <v>60</v>
      </c>
      <c r="G805" s="1" t="s">
        <v>20</v>
      </c>
      <c r="H805" s="1" t="s">
        <v>33</v>
      </c>
      <c r="I805" s="1">
        <v>153</v>
      </c>
      <c r="J805" s="1">
        <v>35</v>
      </c>
      <c r="K805" s="1">
        <v>0.09</v>
      </c>
      <c r="L805" s="1">
        <v>5355</v>
      </c>
      <c r="M805" s="1">
        <v>4873.05</v>
      </c>
      <c r="N805" s="1">
        <v>5599.01</v>
      </c>
      <c r="O805" s="1">
        <v>0.87</v>
      </c>
      <c r="P805" s="2" t="s">
        <v>73</v>
      </c>
      <c r="Q805" s="14" t="s">
        <v>22</v>
      </c>
    </row>
    <row r="806" spans="1:17" x14ac:dyDescent="0.45">
      <c r="A806" s="10">
        <v>46182</v>
      </c>
      <c r="B806" s="1" t="s">
        <v>877</v>
      </c>
      <c r="C806" s="1" t="s">
        <v>75</v>
      </c>
      <c r="D806" s="1" t="s">
        <v>21</v>
      </c>
      <c r="E806" s="1" t="s">
        <v>50</v>
      </c>
      <c r="F806" s="1" t="s">
        <v>78</v>
      </c>
      <c r="G806" s="1" t="s">
        <v>20</v>
      </c>
      <c r="H806" s="1" t="s">
        <v>23</v>
      </c>
      <c r="I806" s="1">
        <v>51</v>
      </c>
      <c r="J806" s="1">
        <v>180</v>
      </c>
      <c r="K806" s="1">
        <v>0.13</v>
      </c>
      <c r="L806" s="1">
        <v>9180</v>
      </c>
      <c r="M806" s="1">
        <v>7986.6</v>
      </c>
      <c r="N806" s="1">
        <v>8437.4</v>
      </c>
      <c r="O806" s="1">
        <v>0.95</v>
      </c>
      <c r="P806" s="2" t="s">
        <v>52</v>
      </c>
      <c r="Q806" s="13" t="s">
        <v>34</v>
      </c>
    </row>
    <row r="807" spans="1:17" x14ac:dyDescent="0.45">
      <c r="A807" s="10">
        <v>46046</v>
      </c>
      <c r="B807" s="1" t="s">
        <v>878</v>
      </c>
      <c r="C807" s="1" t="s">
        <v>75</v>
      </c>
      <c r="D807" s="1" t="s">
        <v>25</v>
      </c>
      <c r="E807" s="1" t="s">
        <v>98</v>
      </c>
      <c r="F807" s="1" t="s">
        <v>71</v>
      </c>
      <c r="G807" s="1" t="s">
        <v>14</v>
      </c>
      <c r="H807" s="1" t="s">
        <v>27</v>
      </c>
      <c r="I807" s="1">
        <v>150</v>
      </c>
      <c r="J807" s="1">
        <v>120</v>
      </c>
      <c r="K807" s="1">
        <v>7.0000000000000007E-2</v>
      </c>
      <c r="L807" s="1">
        <v>18000</v>
      </c>
      <c r="M807" s="1">
        <v>16740</v>
      </c>
      <c r="N807" s="1">
        <v>18033.78</v>
      </c>
      <c r="O807" s="1">
        <v>0.93</v>
      </c>
      <c r="P807" s="2" t="s">
        <v>52</v>
      </c>
      <c r="Q807" s="14" t="s">
        <v>16</v>
      </c>
    </row>
    <row r="808" spans="1:17" x14ac:dyDescent="0.45">
      <c r="A808" s="10">
        <v>46076</v>
      </c>
      <c r="B808" s="1" t="s">
        <v>879</v>
      </c>
      <c r="C808" s="1" t="s">
        <v>75</v>
      </c>
      <c r="D808" s="1" t="s">
        <v>28</v>
      </c>
      <c r="E808" s="1" t="s">
        <v>82</v>
      </c>
      <c r="F808" s="1" t="s">
        <v>95</v>
      </c>
      <c r="G808" s="1" t="s">
        <v>14</v>
      </c>
      <c r="H808" s="1" t="s">
        <v>18</v>
      </c>
      <c r="I808" s="1">
        <v>128</v>
      </c>
      <c r="J808" s="1">
        <v>250</v>
      </c>
      <c r="K808" s="1">
        <v>0.11</v>
      </c>
      <c r="L808" s="1">
        <v>32000</v>
      </c>
      <c r="M808" s="1">
        <v>28480</v>
      </c>
      <c r="N808" s="1">
        <v>28314.84</v>
      </c>
      <c r="O808" s="1">
        <v>1.01</v>
      </c>
      <c r="P808" s="2" t="s">
        <v>73</v>
      </c>
      <c r="Q808" s="13" t="s">
        <v>22</v>
      </c>
    </row>
    <row r="809" spans="1:17" x14ac:dyDescent="0.45">
      <c r="A809" s="10">
        <v>46194</v>
      </c>
      <c r="B809" s="1" t="s">
        <v>880</v>
      </c>
      <c r="C809" s="1" t="s">
        <v>75</v>
      </c>
      <c r="D809" s="1" t="s">
        <v>21</v>
      </c>
      <c r="E809" s="1" t="s">
        <v>50</v>
      </c>
      <c r="F809" s="1" t="s">
        <v>78</v>
      </c>
      <c r="G809" s="1" t="s">
        <v>20</v>
      </c>
      <c r="H809" s="1" t="s">
        <v>23</v>
      </c>
      <c r="I809" s="1">
        <v>89</v>
      </c>
      <c r="J809" s="1">
        <v>180</v>
      </c>
      <c r="K809" s="1">
        <v>0.11</v>
      </c>
      <c r="L809" s="1">
        <v>16020</v>
      </c>
      <c r="M809" s="1">
        <v>14257.8</v>
      </c>
      <c r="N809" s="1">
        <v>13795.89</v>
      </c>
      <c r="O809" s="1">
        <v>1.03</v>
      </c>
      <c r="P809" s="2" t="s">
        <v>52</v>
      </c>
      <c r="Q809" s="14" t="s">
        <v>34</v>
      </c>
    </row>
    <row r="810" spans="1:17" x14ac:dyDescent="0.45">
      <c r="A810" s="10">
        <v>46151</v>
      </c>
      <c r="B810" s="1" t="s">
        <v>881</v>
      </c>
      <c r="C810" s="1" t="s">
        <v>58</v>
      </c>
      <c r="D810" s="1" t="s">
        <v>15</v>
      </c>
      <c r="E810" s="1" t="s">
        <v>55</v>
      </c>
      <c r="F810" s="1" t="s">
        <v>51</v>
      </c>
      <c r="G810" s="1" t="s">
        <v>20</v>
      </c>
      <c r="H810" s="1" t="s">
        <v>33</v>
      </c>
      <c r="I810" s="1">
        <v>128</v>
      </c>
      <c r="J810" s="1">
        <v>35</v>
      </c>
      <c r="K810" s="1">
        <v>0.1</v>
      </c>
      <c r="L810" s="1">
        <v>4480</v>
      </c>
      <c r="M810" s="1">
        <v>4032</v>
      </c>
      <c r="N810" s="1">
        <v>4492.58</v>
      </c>
      <c r="O810" s="1">
        <v>0.9</v>
      </c>
      <c r="P810" s="2" t="s">
        <v>52</v>
      </c>
      <c r="Q810" s="13" t="s">
        <v>32</v>
      </c>
    </row>
    <row r="811" spans="1:17" x14ac:dyDescent="0.45">
      <c r="A811" s="10">
        <v>46068</v>
      </c>
      <c r="B811" s="1" t="s">
        <v>882</v>
      </c>
      <c r="C811" s="1" t="s">
        <v>54</v>
      </c>
      <c r="D811" s="1" t="s">
        <v>21</v>
      </c>
      <c r="E811" s="1" t="s">
        <v>80</v>
      </c>
      <c r="F811" s="1" t="s">
        <v>60</v>
      </c>
      <c r="G811" s="1" t="s">
        <v>20</v>
      </c>
      <c r="H811" s="1" t="s">
        <v>33</v>
      </c>
      <c r="I811" s="1">
        <v>106</v>
      </c>
      <c r="J811" s="1">
        <v>35</v>
      </c>
      <c r="K811" s="1">
        <v>0.02</v>
      </c>
      <c r="L811" s="1">
        <v>3710</v>
      </c>
      <c r="M811" s="1">
        <v>3635.8</v>
      </c>
      <c r="N811" s="1">
        <v>3233.62</v>
      </c>
      <c r="O811" s="1">
        <v>1.1200000000000001</v>
      </c>
      <c r="P811" s="2" t="s">
        <v>73</v>
      </c>
      <c r="Q811" s="14" t="s">
        <v>22</v>
      </c>
    </row>
    <row r="812" spans="1:17" x14ac:dyDescent="0.45">
      <c r="A812" s="10">
        <v>46137</v>
      </c>
      <c r="B812" s="1" t="s">
        <v>883</v>
      </c>
      <c r="C812" s="1" t="s">
        <v>75</v>
      </c>
      <c r="D812" s="1" t="s">
        <v>28</v>
      </c>
      <c r="E812" s="1" t="s">
        <v>65</v>
      </c>
      <c r="F812" s="1" t="s">
        <v>95</v>
      </c>
      <c r="G812" s="1" t="s">
        <v>14</v>
      </c>
      <c r="H812" s="1" t="s">
        <v>27</v>
      </c>
      <c r="I812" s="1">
        <v>14</v>
      </c>
      <c r="J812" s="1">
        <v>120</v>
      </c>
      <c r="K812" s="1">
        <v>0.01</v>
      </c>
      <c r="L812" s="1">
        <v>1680</v>
      </c>
      <c r="M812" s="1">
        <v>1663.2</v>
      </c>
      <c r="N812" s="1">
        <v>1464.96</v>
      </c>
      <c r="O812" s="1">
        <v>1.1399999999999999</v>
      </c>
      <c r="P812" s="2" t="s">
        <v>52</v>
      </c>
      <c r="Q812" s="13" t="s">
        <v>29</v>
      </c>
    </row>
    <row r="813" spans="1:17" x14ac:dyDescent="0.45">
      <c r="A813" s="10">
        <v>46142</v>
      </c>
      <c r="B813" s="1" t="s">
        <v>884</v>
      </c>
      <c r="C813" s="1" t="s">
        <v>49</v>
      </c>
      <c r="D813" s="1" t="s">
        <v>21</v>
      </c>
      <c r="E813" s="1" t="s">
        <v>50</v>
      </c>
      <c r="F813" s="1" t="s">
        <v>71</v>
      </c>
      <c r="G813" s="1" t="s">
        <v>24</v>
      </c>
      <c r="H813" s="1" t="s">
        <v>30</v>
      </c>
      <c r="I813" s="1">
        <v>55</v>
      </c>
      <c r="J813" s="1">
        <v>40</v>
      </c>
      <c r="K813" s="1">
        <v>0.09</v>
      </c>
      <c r="L813" s="1">
        <v>2200</v>
      </c>
      <c r="M813" s="1">
        <v>2002</v>
      </c>
      <c r="N813" s="1">
        <v>2029.24</v>
      </c>
      <c r="O813" s="1">
        <v>0.99</v>
      </c>
      <c r="P813" s="2" t="s">
        <v>73</v>
      </c>
      <c r="Q813" s="14" t="s">
        <v>29</v>
      </c>
    </row>
    <row r="814" spans="1:17" x14ac:dyDescent="0.45">
      <c r="A814" s="10">
        <v>46023</v>
      </c>
      <c r="B814" s="1" t="s">
        <v>885</v>
      </c>
      <c r="C814" s="1" t="s">
        <v>67</v>
      </c>
      <c r="D814" s="1" t="s">
        <v>28</v>
      </c>
      <c r="E814" s="1" t="s">
        <v>59</v>
      </c>
      <c r="F814" s="1" t="s">
        <v>78</v>
      </c>
      <c r="G814" s="1" t="s">
        <v>14</v>
      </c>
      <c r="H814" s="1" t="s">
        <v>27</v>
      </c>
      <c r="I814" s="1">
        <v>9</v>
      </c>
      <c r="J814" s="1">
        <v>120</v>
      </c>
      <c r="K814" s="1">
        <v>0.11</v>
      </c>
      <c r="L814" s="1">
        <v>1080</v>
      </c>
      <c r="M814" s="1">
        <v>961.2</v>
      </c>
      <c r="N814" s="1">
        <v>1133.49</v>
      </c>
      <c r="O814" s="1">
        <v>0.85</v>
      </c>
      <c r="P814" s="2" t="s">
        <v>52</v>
      </c>
      <c r="Q814" s="13" t="s">
        <v>16</v>
      </c>
    </row>
    <row r="815" spans="1:17" x14ac:dyDescent="0.45">
      <c r="A815" s="10">
        <v>46055</v>
      </c>
      <c r="B815" s="1" t="s">
        <v>886</v>
      </c>
      <c r="C815" s="1" t="s">
        <v>49</v>
      </c>
      <c r="D815" s="1" t="s">
        <v>15</v>
      </c>
      <c r="E815" s="1" t="s">
        <v>62</v>
      </c>
      <c r="F815" s="1" t="s">
        <v>71</v>
      </c>
      <c r="G815" s="1" t="s">
        <v>24</v>
      </c>
      <c r="H815" s="1" t="s">
        <v>30</v>
      </c>
      <c r="I815" s="1">
        <v>169</v>
      </c>
      <c r="J815" s="1">
        <v>40</v>
      </c>
      <c r="K815" s="1">
        <v>7.0000000000000007E-2</v>
      </c>
      <c r="L815" s="1">
        <v>6760</v>
      </c>
      <c r="M815" s="1">
        <v>6286.8</v>
      </c>
      <c r="N815" s="1">
        <v>5473.85</v>
      </c>
      <c r="O815" s="1">
        <v>1.1499999999999999</v>
      </c>
      <c r="P815" s="2" t="s">
        <v>73</v>
      </c>
      <c r="Q815" s="14" t="s">
        <v>22</v>
      </c>
    </row>
    <row r="816" spans="1:17" x14ac:dyDescent="0.45">
      <c r="A816" s="10">
        <v>46087</v>
      </c>
      <c r="B816" s="1" t="s">
        <v>887</v>
      </c>
      <c r="C816" s="1" t="s">
        <v>67</v>
      </c>
      <c r="D816" s="1" t="s">
        <v>21</v>
      </c>
      <c r="E816" s="1" t="s">
        <v>50</v>
      </c>
      <c r="F816" s="1" t="s">
        <v>71</v>
      </c>
      <c r="G816" s="1" t="s">
        <v>14</v>
      </c>
      <c r="H816" s="1" t="s">
        <v>18</v>
      </c>
      <c r="I816" s="1">
        <v>188</v>
      </c>
      <c r="J816" s="1">
        <v>250</v>
      </c>
      <c r="K816" s="1">
        <v>0.15</v>
      </c>
      <c r="L816" s="1">
        <v>47000</v>
      </c>
      <c r="M816" s="1">
        <v>39950</v>
      </c>
      <c r="N816" s="1">
        <v>35265.61</v>
      </c>
      <c r="O816" s="1">
        <v>1.1299999999999999</v>
      </c>
      <c r="P816" s="2" t="s">
        <v>73</v>
      </c>
      <c r="Q816" s="13" t="s">
        <v>26</v>
      </c>
    </row>
    <row r="817" spans="1:17" x14ac:dyDescent="0.45">
      <c r="A817" s="10">
        <v>46154</v>
      </c>
      <c r="B817" s="1" t="s">
        <v>888</v>
      </c>
      <c r="C817" s="1" t="s">
        <v>49</v>
      </c>
      <c r="D817" s="1" t="s">
        <v>28</v>
      </c>
      <c r="E817" s="1" t="s">
        <v>59</v>
      </c>
      <c r="F817" s="1" t="s">
        <v>51</v>
      </c>
      <c r="G817" s="1" t="s">
        <v>14</v>
      </c>
      <c r="H817" s="1" t="s">
        <v>27</v>
      </c>
      <c r="I817" s="1">
        <v>38</v>
      </c>
      <c r="J817" s="1">
        <v>120</v>
      </c>
      <c r="K817" s="1">
        <v>0.02</v>
      </c>
      <c r="L817" s="1">
        <v>4560</v>
      </c>
      <c r="M817" s="1">
        <v>4468.8</v>
      </c>
      <c r="N817" s="1">
        <v>4538.37</v>
      </c>
      <c r="O817" s="1">
        <v>0.98</v>
      </c>
      <c r="P817" s="2" t="s">
        <v>73</v>
      </c>
      <c r="Q817" s="14" t="s">
        <v>32</v>
      </c>
    </row>
    <row r="818" spans="1:17" x14ac:dyDescent="0.45">
      <c r="A818" s="10">
        <v>46202</v>
      </c>
      <c r="B818" s="1" t="s">
        <v>889</v>
      </c>
      <c r="C818" s="1" t="s">
        <v>64</v>
      </c>
      <c r="D818" s="1" t="s">
        <v>25</v>
      </c>
      <c r="E818" s="1" t="s">
        <v>98</v>
      </c>
      <c r="F818" s="1" t="s">
        <v>78</v>
      </c>
      <c r="G818" s="1" t="s">
        <v>24</v>
      </c>
      <c r="H818" s="1" t="s">
        <v>35</v>
      </c>
      <c r="I818" s="1">
        <v>141</v>
      </c>
      <c r="J818" s="1">
        <v>30</v>
      </c>
      <c r="K818" s="1">
        <v>7.0000000000000007E-2</v>
      </c>
      <c r="L818" s="1">
        <v>4230</v>
      </c>
      <c r="M818" s="1">
        <v>3933.9</v>
      </c>
      <c r="N818" s="1">
        <v>3312.83</v>
      </c>
      <c r="O818" s="1">
        <v>1.19</v>
      </c>
      <c r="P818" s="2" t="s">
        <v>52</v>
      </c>
      <c r="Q818" s="13" t="s">
        <v>34</v>
      </c>
    </row>
    <row r="819" spans="1:17" x14ac:dyDescent="0.45">
      <c r="A819" s="10">
        <v>46062</v>
      </c>
      <c r="B819" s="1" t="s">
        <v>890</v>
      </c>
      <c r="C819" s="1" t="s">
        <v>54</v>
      </c>
      <c r="D819" s="1" t="s">
        <v>28</v>
      </c>
      <c r="E819" s="1" t="s">
        <v>65</v>
      </c>
      <c r="F819" s="1" t="s">
        <v>56</v>
      </c>
      <c r="G819" s="1" t="s">
        <v>24</v>
      </c>
      <c r="H819" s="1" t="s">
        <v>35</v>
      </c>
      <c r="I819" s="1">
        <v>189</v>
      </c>
      <c r="J819" s="1">
        <v>30</v>
      </c>
      <c r="K819" s="1">
        <v>0.13</v>
      </c>
      <c r="L819" s="1">
        <v>5670</v>
      </c>
      <c r="M819" s="1">
        <v>4932.8999999999996</v>
      </c>
      <c r="N819" s="1">
        <v>5040.1499999999996</v>
      </c>
      <c r="O819" s="1">
        <v>0.98</v>
      </c>
      <c r="P819" s="2" t="s">
        <v>52</v>
      </c>
      <c r="Q819" s="14" t="s">
        <v>22</v>
      </c>
    </row>
    <row r="820" spans="1:17" x14ac:dyDescent="0.45">
      <c r="A820" s="10">
        <v>46024</v>
      </c>
      <c r="B820" s="1" t="s">
        <v>891</v>
      </c>
      <c r="C820" s="1" t="s">
        <v>58</v>
      </c>
      <c r="D820" s="1" t="s">
        <v>25</v>
      </c>
      <c r="E820" s="1" t="s">
        <v>98</v>
      </c>
      <c r="F820" s="1" t="s">
        <v>56</v>
      </c>
      <c r="G820" s="1" t="s">
        <v>24</v>
      </c>
      <c r="H820" s="1" t="s">
        <v>30</v>
      </c>
      <c r="I820" s="1">
        <v>74</v>
      </c>
      <c r="J820" s="1">
        <v>40</v>
      </c>
      <c r="K820" s="1">
        <v>0.03</v>
      </c>
      <c r="L820" s="1">
        <v>2960</v>
      </c>
      <c r="M820" s="1">
        <v>2871.2</v>
      </c>
      <c r="N820" s="1">
        <v>2918.51</v>
      </c>
      <c r="O820" s="1">
        <v>0.98</v>
      </c>
      <c r="P820" s="2" t="s">
        <v>52</v>
      </c>
      <c r="Q820" s="13" t="s">
        <v>16</v>
      </c>
    </row>
    <row r="821" spans="1:17" x14ac:dyDescent="0.45">
      <c r="A821" s="10">
        <v>46062</v>
      </c>
      <c r="B821" s="1" t="s">
        <v>892</v>
      </c>
      <c r="C821" s="1" t="s">
        <v>64</v>
      </c>
      <c r="D821" s="1" t="s">
        <v>21</v>
      </c>
      <c r="E821" s="1" t="s">
        <v>80</v>
      </c>
      <c r="F821" s="1" t="s">
        <v>71</v>
      </c>
      <c r="G821" s="1" t="s">
        <v>14</v>
      </c>
      <c r="H821" s="1" t="s">
        <v>18</v>
      </c>
      <c r="I821" s="1">
        <v>23</v>
      </c>
      <c r="J821" s="1">
        <v>250</v>
      </c>
      <c r="K821" s="1">
        <v>0.06</v>
      </c>
      <c r="L821" s="1">
        <v>5750</v>
      </c>
      <c r="M821" s="1">
        <v>5405</v>
      </c>
      <c r="N821" s="1">
        <v>6227.76</v>
      </c>
      <c r="O821" s="1">
        <v>0.87</v>
      </c>
      <c r="P821" s="2" t="s">
        <v>73</v>
      </c>
      <c r="Q821" s="14" t="s">
        <v>22</v>
      </c>
    </row>
    <row r="822" spans="1:17" x14ac:dyDescent="0.45">
      <c r="A822" s="10">
        <v>46173</v>
      </c>
      <c r="B822" s="1" t="s">
        <v>893</v>
      </c>
      <c r="C822" s="1" t="s">
        <v>64</v>
      </c>
      <c r="D822" s="1" t="s">
        <v>15</v>
      </c>
      <c r="E822" s="1" t="s">
        <v>55</v>
      </c>
      <c r="F822" s="1" t="s">
        <v>78</v>
      </c>
      <c r="G822" s="1" t="s">
        <v>14</v>
      </c>
      <c r="H822" s="1" t="s">
        <v>18</v>
      </c>
      <c r="I822" s="1">
        <v>80</v>
      </c>
      <c r="J822" s="1">
        <v>250</v>
      </c>
      <c r="K822" s="1">
        <v>0.04</v>
      </c>
      <c r="L822" s="1">
        <v>20000</v>
      </c>
      <c r="M822" s="1">
        <v>19200</v>
      </c>
      <c r="N822" s="1">
        <v>16169.77</v>
      </c>
      <c r="O822" s="1">
        <v>1.19</v>
      </c>
      <c r="P822" s="2" t="s">
        <v>52</v>
      </c>
      <c r="Q822" s="13" t="s">
        <v>32</v>
      </c>
    </row>
    <row r="823" spans="1:17" x14ac:dyDescent="0.45">
      <c r="A823" s="10">
        <v>46136</v>
      </c>
      <c r="B823" s="1" t="s">
        <v>894</v>
      </c>
      <c r="C823" s="1" t="s">
        <v>58</v>
      </c>
      <c r="D823" s="1" t="s">
        <v>28</v>
      </c>
      <c r="E823" s="1" t="s">
        <v>65</v>
      </c>
      <c r="F823" s="1" t="s">
        <v>95</v>
      </c>
      <c r="G823" s="1" t="s">
        <v>20</v>
      </c>
      <c r="H823" s="1" t="s">
        <v>33</v>
      </c>
      <c r="I823" s="1">
        <v>19</v>
      </c>
      <c r="J823" s="1">
        <v>35</v>
      </c>
      <c r="K823" s="1">
        <v>0.03</v>
      </c>
      <c r="L823" s="1">
        <v>665</v>
      </c>
      <c r="M823" s="1">
        <v>645.04999999999995</v>
      </c>
      <c r="N823" s="1">
        <v>561.6</v>
      </c>
      <c r="O823" s="1">
        <v>1.1499999999999999</v>
      </c>
      <c r="P823" s="2" t="s">
        <v>73</v>
      </c>
      <c r="Q823" s="14" t="s">
        <v>29</v>
      </c>
    </row>
    <row r="824" spans="1:17" x14ac:dyDescent="0.45">
      <c r="A824" s="10">
        <v>46185</v>
      </c>
      <c r="B824" s="1" t="s">
        <v>895</v>
      </c>
      <c r="C824" s="1" t="s">
        <v>54</v>
      </c>
      <c r="D824" s="1" t="s">
        <v>25</v>
      </c>
      <c r="E824" s="1" t="s">
        <v>104</v>
      </c>
      <c r="F824" s="1" t="s">
        <v>60</v>
      </c>
      <c r="G824" s="1" t="s">
        <v>20</v>
      </c>
      <c r="H824" s="1" t="s">
        <v>23</v>
      </c>
      <c r="I824" s="1">
        <v>130</v>
      </c>
      <c r="J824" s="1">
        <v>180</v>
      </c>
      <c r="K824" s="1">
        <v>0.12</v>
      </c>
      <c r="L824" s="1">
        <v>23400</v>
      </c>
      <c r="M824" s="1">
        <v>20592</v>
      </c>
      <c r="N824" s="1">
        <v>22507.29</v>
      </c>
      <c r="O824" s="1">
        <v>0.91</v>
      </c>
      <c r="P824" s="2" t="s">
        <v>52</v>
      </c>
      <c r="Q824" s="13" t="s">
        <v>34</v>
      </c>
    </row>
    <row r="825" spans="1:17" x14ac:dyDescent="0.45">
      <c r="A825" s="10">
        <v>46082</v>
      </c>
      <c r="B825" s="1" t="s">
        <v>896</v>
      </c>
      <c r="C825" s="1" t="s">
        <v>75</v>
      </c>
      <c r="D825" s="1" t="s">
        <v>15</v>
      </c>
      <c r="E825" s="1" t="s">
        <v>55</v>
      </c>
      <c r="F825" s="1" t="s">
        <v>78</v>
      </c>
      <c r="G825" s="1" t="s">
        <v>20</v>
      </c>
      <c r="H825" s="1" t="s">
        <v>23</v>
      </c>
      <c r="I825" s="1">
        <v>184</v>
      </c>
      <c r="J825" s="1">
        <v>180</v>
      </c>
      <c r="K825" s="1">
        <v>0.04</v>
      </c>
      <c r="L825" s="1">
        <v>33120</v>
      </c>
      <c r="M825" s="1">
        <v>31795.200000000001</v>
      </c>
      <c r="N825" s="1">
        <v>28531.96</v>
      </c>
      <c r="O825" s="1">
        <v>1.1100000000000001</v>
      </c>
      <c r="P825" s="2" t="s">
        <v>73</v>
      </c>
      <c r="Q825" s="14" t="s">
        <v>26</v>
      </c>
    </row>
    <row r="826" spans="1:17" x14ac:dyDescent="0.45">
      <c r="A826" s="10">
        <v>46052</v>
      </c>
      <c r="B826" s="1" t="s">
        <v>897</v>
      </c>
      <c r="C826" s="1" t="s">
        <v>75</v>
      </c>
      <c r="D826" s="1" t="s">
        <v>15</v>
      </c>
      <c r="E826" s="1" t="s">
        <v>62</v>
      </c>
      <c r="F826" s="1" t="s">
        <v>60</v>
      </c>
      <c r="G826" s="1" t="s">
        <v>24</v>
      </c>
      <c r="H826" s="1" t="s">
        <v>35</v>
      </c>
      <c r="I826" s="1">
        <v>63</v>
      </c>
      <c r="J826" s="1">
        <v>30</v>
      </c>
      <c r="K826" s="1">
        <v>0.04</v>
      </c>
      <c r="L826" s="1">
        <v>1890</v>
      </c>
      <c r="M826" s="1">
        <v>1814.4</v>
      </c>
      <c r="N826" s="1">
        <v>1811</v>
      </c>
      <c r="O826" s="1">
        <v>1</v>
      </c>
      <c r="P826" s="2" t="s">
        <v>73</v>
      </c>
      <c r="Q826" s="13" t="s">
        <v>16</v>
      </c>
    </row>
    <row r="827" spans="1:17" x14ac:dyDescent="0.45">
      <c r="A827" s="10">
        <v>46081</v>
      </c>
      <c r="B827" s="1" t="s">
        <v>898</v>
      </c>
      <c r="C827" s="1" t="s">
        <v>49</v>
      </c>
      <c r="D827" s="1" t="s">
        <v>21</v>
      </c>
      <c r="E827" s="1" t="s">
        <v>80</v>
      </c>
      <c r="F827" s="1" t="s">
        <v>51</v>
      </c>
      <c r="G827" s="1" t="s">
        <v>20</v>
      </c>
      <c r="H827" s="1" t="s">
        <v>33</v>
      </c>
      <c r="I827" s="1">
        <v>107</v>
      </c>
      <c r="J827" s="1">
        <v>35</v>
      </c>
      <c r="K827" s="1">
        <v>0.09</v>
      </c>
      <c r="L827" s="1">
        <v>3745</v>
      </c>
      <c r="M827" s="1">
        <v>3407.95</v>
      </c>
      <c r="N827" s="1">
        <v>3080.91</v>
      </c>
      <c r="O827" s="1">
        <v>1.1100000000000001</v>
      </c>
      <c r="P827" s="2" t="s">
        <v>52</v>
      </c>
      <c r="Q827" s="14" t="s">
        <v>22</v>
      </c>
    </row>
    <row r="828" spans="1:17" x14ac:dyDescent="0.45">
      <c r="A828" s="10">
        <v>46192</v>
      </c>
      <c r="B828" s="1" t="s">
        <v>899</v>
      </c>
      <c r="C828" s="1" t="s">
        <v>67</v>
      </c>
      <c r="D828" s="1" t="s">
        <v>21</v>
      </c>
      <c r="E828" s="1" t="s">
        <v>50</v>
      </c>
      <c r="F828" s="1" t="s">
        <v>51</v>
      </c>
      <c r="G828" s="1" t="s">
        <v>20</v>
      </c>
      <c r="H828" s="1" t="s">
        <v>23</v>
      </c>
      <c r="I828" s="1">
        <v>19</v>
      </c>
      <c r="J828" s="1">
        <v>180</v>
      </c>
      <c r="K828" s="1">
        <v>0.02</v>
      </c>
      <c r="L828" s="1">
        <v>3420</v>
      </c>
      <c r="M828" s="1">
        <v>3351.6</v>
      </c>
      <c r="N828" s="1">
        <v>3824.93</v>
      </c>
      <c r="O828" s="1">
        <v>0.88</v>
      </c>
      <c r="P828" s="2" t="s">
        <v>73</v>
      </c>
      <c r="Q828" s="13" t="s">
        <v>34</v>
      </c>
    </row>
    <row r="829" spans="1:17" x14ac:dyDescent="0.45">
      <c r="A829" s="10">
        <v>46061</v>
      </c>
      <c r="B829" s="1" t="s">
        <v>900</v>
      </c>
      <c r="C829" s="1" t="s">
        <v>64</v>
      </c>
      <c r="D829" s="1" t="s">
        <v>28</v>
      </c>
      <c r="E829" s="1" t="s">
        <v>82</v>
      </c>
      <c r="F829" s="1" t="s">
        <v>51</v>
      </c>
      <c r="G829" s="1" t="s">
        <v>24</v>
      </c>
      <c r="H829" s="1" t="s">
        <v>30</v>
      </c>
      <c r="I829" s="1">
        <v>33</v>
      </c>
      <c r="J829" s="1">
        <v>40</v>
      </c>
      <c r="K829" s="1">
        <v>0.09</v>
      </c>
      <c r="L829" s="1">
        <v>1320</v>
      </c>
      <c r="M829" s="1">
        <v>1201.2</v>
      </c>
      <c r="N829" s="1">
        <v>1046.03</v>
      </c>
      <c r="O829" s="1">
        <v>1.1499999999999999</v>
      </c>
      <c r="P829" s="2" t="s">
        <v>73</v>
      </c>
      <c r="Q829" s="14" t="s">
        <v>22</v>
      </c>
    </row>
    <row r="830" spans="1:17" x14ac:dyDescent="0.45">
      <c r="A830" s="10">
        <v>46127</v>
      </c>
      <c r="B830" s="1" t="s">
        <v>901</v>
      </c>
      <c r="C830" s="1" t="s">
        <v>58</v>
      </c>
      <c r="D830" s="1" t="s">
        <v>15</v>
      </c>
      <c r="E830" s="1" t="s">
        <v>62</v>
      </c>
      <c r="F830" s="1" t="s">
        <v>60</v>
      </c>
      <c r="G830" s="1" t="s">
        <v>14</v>
      </c>
      <c r="H830" s="1" t="s">
        <v>27</v>
      </c>
      <c r="I830" s="1">
        <v>156</v>
      </c>
      <c r="J830" s="1">
        <v>120</v>
      </c>
      <c r="K830" s="1">
        <v>0</v>
      </c>
      <c r="L830" s="1">
        <v>18720</v>
      </c>
      <c r="M830" s="1">
        <v>18720</v>
      </c>
      <c r="N830" s="1">
        <v>21819.7</v>
      </c>
      <c r="O830" s="1">
        <v>0.86</v>
      </c>
      <c r="P830" s="2" t="s">
        <v>52</v>
      </c>
      <c r="Q830" s="13" t="s">
        <v>29</v>
      </c>
    </row>
    <row r="831" spans="1:17" x14ac:dyDescent="0.45">
      <c r="A831" s="10">
        <v>46057</v>
      </c>
      <c r="B831" s="1" t="s">
        <v>902</v>
      </c>
      <c r="C831" s="1" t="s">
        <v>75</v>
      </c>
      <c r="D831" s="1" t="s">
        <v>25</v>
      </c>
      <c r="E831" s="1" t="s">
        <v>68</v>
      </c>
      <c r="F831" s="1" t="s">
        <v>51</v>
      </c>
      <c r="G831" s="1" t="s">
        <v>20</v>
      </c>
      <c r="H831" s="1" t="s">
        <v>33</v>
      </c>
      <c r="I831" s="1">
        <v>114</v>
      </c>
      <c r="J831" s="1">
        <v>35</v>
      </c>
      <c r="K831" s="1">
        <v>0.1</v>
      </c>
      <c r="L831" s="1">
        <v>3990</v>
      </c>
      <c r="M831" s="1">
        <v>3591</v>
      </c>
      <c r="N831" s="1">
        <v>3435.94</v>
      </c>
      <c r="O831" s="1">
        <v>1.05</v>
      </c>
      <c r="P831" s="2" t="s">
        <v>73</v>
      </c>
      <c r="Q831" s="14" t="s">
        <v>22</v>
      </c>
    </row>
    <row r="832" spans="1:17" x14ac:dyDescent="0.45">
      <c r="A832" s="10">
        <v>46061</v>
      </c>
      <c r="B832" s="1" t="s">
        <v>903</v>
      </c>
      <c r="C832" s="1" t="s">
        <v>75</v>
      </c>
      <c r="D832" s="1" t="s">
        <v>21</v>
      </c>
      <c r="E832" s="1" t="s">
        <v>80</v>
      </c>
      <c r="F832" s="1" t="s">
        <v>56</v>
      </c>
      <c r="G832" s="1" t="s">
        <v>20</v>
      </c>
      <c r="H832" s="1" t="s">
        <v>23</v>
      </c>
      <c r="I832" s="1">
        <v>133</v>
      </c>
      <c r="J832" s="1">
        <v>180</v>
      </c>
      <c r="K832" s="1">
        <v>0.13</v>
      </c>
      <c r="L832" s="1">
        <v>23940</v>
      </c>
      <c r="M832" s="1">
        <v>20827.8</v>
      </c>
      <c r="N832" s="1">
        <v>23423.33</v>
      </c>
      <c r="O832" s="1">
        <v>0.89</v>
      </c>
      <c r="P832" s="2" t="s">
        <v>73</v>
      </c>
      <c r="Q832" s="13" t="s">
        <v>22</v>
      </c>
    </row>
    <row r="833" spans="1:17" x14ac:dyDescent="0.45">
      <c r="A833" s="10">
        <v>46090</v>
      </c>
      <c r="B833" s="1" t="s">
        <v>904</v>
      </c>
      <c r="C833" s="1" t="s">
        <v>64</v>
      </c>
      <c r="D833" s="1" t="s">
        <v>21</v>
      </c>
      <c r="E833" s="1" t="s">
        <v>80</v>
      </c>
      <c r="F833" s="1" t="s">
        <v>60</v>
      </c>
      <c r="G833" s="1" t="s">
        <v>20</v>
      </c>
      <c r="H833" s="1" t="s">
        <v>33</v>
      </c>
      <c r="I833" s="1">
        <v>133</v>
      </c>
      <c r="J833" s="1">
        <v>35</v>
      </c>
      <c r="K833" s="1">
        <v>0.13</v>
      </c>
      <c r="L833" s="1">
        <v>4655</v>
      </c>
      <c r="M833" s="1">
        <v>4049.85</v>
      </c>
      <c r="N833" s="1">
        <v>4653.2700000000004</v>
      </c>
      <c r="O833" s="1">
        <v>0.87</v>
      </c>
      <c r="P833" s="2" t="s">
        <v>52</v>
      </c>
      <c r="Q833" s="14" t="s">
        <v>26</v>
      </c>
    </row>
    <row r="834" spans="1:17" x14ac:dyDescent="0.45">
      <c r="A834" s="10">
        <v>46139</v>
      </c>
      <c r="B834" s="1" t="s">
        <v>905</v>
      </c>
      <c r="C834" s="1" t="s">
        <v>75</v>
      </c>
      <c r="D834" s="1" t="s">
        <v>28</v>
      </c>
      <c r="E834" s="1" t="s">
        <v>70</v>
      </c>
      <c r="F834" s="1" t="s">
        <v>60</v>
      </c>
      <c r="G834" s="1" t="s">
        <v>24</v>
      </c>
      <c r="H834" s="1" t="s">
        <v>30</v>
      </c>
      <c r="I834" s="1">
        <v>84</v>
      </c>
      <c r="J834" s="1">
        <v>40</v>
      </c>
      <c r="K834" s="1">
        <v>0.11</v>
      </c>
      <c r="L834" s="1">
        <v>3360</v>
      </c>
      <c r="M834" s="1">
        <v>2990.4</v>
      </c>
      <c r="N834" s="1">
        <v>3174.99</v>
      </c>
      <c r="O834" s="1">
        <v>0.94</v>
      </c>
      <c r="P834" s="2" t="s">
        <v>73</v>
      </c>
      <c r="Q834" s="13" t="s">
        <v>29</v>
      </c>
    </row>
    <row r="835" spans="1:17" x14ac:dyDescent="0.45">
      <c r="A835" s="10">
        <v>46029</v>
      </c>
      <c r="B835" s="1" t="s">
        <v>906</v>
      </c>
      <c r="C835" s="1" t="s">
        <v>64</v>
      </c>
      <c r="D835" s="1" t="s">
        <v>28</v>
      </c>
      <c r="E835" s="1" t="s">
        <v>82</v>
      </c>
      <c r="F835" s="1" t="s">
        <v>51</v>
      </c>
      <c r="G835" s="1" t="s">
        <v>20</v>
      </c>
      <c r="H835" s="1" t="s">
        <v>33</v>
      </c>
      <c r="I835" s="1">
        <v>83</v>
      </c>
      <c r="J835" s="1">
        <v>35</v>
      </c>
      <c r="K835" s="1">
        <v>0.12</v>
      </c>
      <c r="L835" s="1">
        <v>2905</v>
      </c>
      <c r="M835" s="1">
        <v>2556.4</v>
      </c>
      <c r="N835" s="1">
        <v>3056.54</v>
      </c>
      <c r="O835" s="1">
        <v>0.84</v>
      </c>
      <c r="P835" s="2" t="s">
        <v>52</v>
      </c>
      <c r="Q835" s="14" t="s">
        <v>16</v>
      </c>
    </row>
    <row r="836" spans="1:17" x14ac:dyDescent="0.45">
      <c r="A836" s="10">
        <v>46187</v>
      </c>
      <c r="B836" s="1" t="s">
        <v>907</v>
      </c>
      <c r="C836" s="1" t="s">
        <v>58</v>
      </c>
      <c r="D836" s="1" t="s">
        <v>15</v>
      </c>
      <c r="E836" s="1" t="s">
        <v>55</v>
      </c>
      <c r="F836" s="1" t="s">
        <v>95</v>
      </c>
      <c r="G836" s="1" t="s">
        <v>20</v>
      </c>
      <c r="H836" s="1" t="s">
        <v>33</v>
      </c>
      <c r="I836" s="1">
        <v>192</v>
      </c>
      <c r="J836" s="1">
        <v>35</v>
      </c>
      <c r="K836" s="1">
        <v>0.08</v>
      </c>
      <c r="L836" s="1">
        <v>6720</v>
      </c>
      <c r="M836" s="1">
        <v>6182.4</v>
      </c>
      <c r="N836" s="1">
        <v>5418</v>
      </c>
      <c r="O836" s="1">
        <v>1.1399999999999999</v>
      </c>
      <c r="P836" s="2" t="s">
        <v>73</v>
      </c>
      <c r="Q836" s="13" t="s">
        <v>34</v>
      </c>
    </row>
    <row r="837" spans="1:17" x14ac:dyDescent="0.45">
      <c r="A837" s="10">
        <v>46169</v>
      </c>
      <c r="B837" s="1" t="s">
        <v>908</v>
      </c>
      <c r="C837" s="1" t="s">
        <v>75</v>
      </c>
      <c r="D837" s="1" t="s">
        <v>25</v>
      </c>
      <c r="E837" s="1" t="s">
        <v>98</v>
      </c>
      <c r="F837" s="1" t="s">
        <v>51</v>
      </c>
      <c r="G837" s="1" t="s">
        <v>20</v>
      </c>
      <c r="H837" s="1" t="s">
        <v>23</v>
      </c>
      <c r="I837" s="1">
        <v>90</v>
      </c>
      <c r="J837" s="1">
        <v>180</v>
      </c>
      <c r="K837" s="1">
        <v>0.03</v>
      </c>
      <c r="L837" s="1">
        <v>16200</v>
      </c>
      <c r="M837" s="1">
        <v>15714</v>
      </c>
      <c r="N837" s="1">
        <v>17144.36</v>
      </c>
      <c r="O837" s="1">
        <v>0.92</v>
      </c>
      <c r="P837" s="2" t="s">
        <v>52</v>
      </c>
      <c r="Q837" s="14" t="s">
        <v>32</v>
      </c>
    </row>
    <row r="838" spans="1:17" x14ac:dyDescent="0.45">
      <c r="A838" s="10">
        <v>46133</v>
      </c>
      <c r="B838" s="1" t="s">
        <v>909</v>
      </c>
      <c r="C838" s="1" t="s">
        <v>64</v>
      </c>
      <c r="D838" s="1" t="s">
        <v>21</v>
      </c>
      <c r="E838" s="1" t="s">
        <v>80</v>
      </c>
      <c r="F838" s="1" t="s">
        <v>60</v>
      </c>
      <c r="G838" s="1" t="s">
        <v>20</v>
      </c>
      <c r="H838" s="1" t="s">
        <v>33</v>
      </c>
      <c r="I838" s="1">
        <v>32</v>
      </c>
      <c r="J838" s="1">
        <v>35</v>
      </c>
      <c r="K838" s="1">
        <v>0.11</v>
      </c>
      <c r="L838" s="1">
        <v>1120</v>
      </c>
      <c r="M838" s="1">
        <v>996.8</v>
      </c>
      <c r="N838" s="1">
        <v>841.55</v>
      </c>
      <c r="O838" s="1">
        <v>1.18</v>
      </c>
      <c r="P838" s="2" t="s">
        <v>52</v>
      </c>
      <c r="Q838" s="13" t="s">
        <v>29</v>
      </c>
    </row>
    <row r="839" spans="1:17" x14ac:dyDescent="0.45">
      <c r="A839" s="10">
        <v>46028</v>
      </c>
      <c r="B839" s="1" t="s">
        <v>910</v>
      </c>
      <c r="C839" s="1" t="s">
        <v>58</v>
      </c>
      <c r="D839" s="1" t="s">
        <v>28</v>
      </c>
      <c r="E839" s="1" t="s">
        <v>70</v>
      </c>
      <c r="F839" s="1" t="s">
        <v>95</v>
      </c>
      <c r="G839" s="1" t="s">
        <v>24</v>
      </c>
      <c r="H839" s="1" t="s">
        <v>30</v>
      </c>
      <c r="I839" s="1">
        <v>34</v>
      </c>
      <c r="J839" s="1">
        <v>40</v>
      </c>
      <c r="K839" s="1">
        <v>0.12</v>
      </c>
      <c r="L839" s="1">
        <v>1360</v>
      </c>
      <c r="M839" s="1">
        <v>1196.8</v>
      </c>
      <c r="N839" s="1">
        <v>1284.49</v>
      </c>
      <c r="O839" s="1">
        <v>0.93</v>
      </c>
      <c r="P839" s="2" t="s">
        <v>52</v>
      </c>
      <c r="Q839" s="14" t="s">
        <v>16</v>
      </c>
    </row>
    <row r="840" spans="1:17" x14ac:dyDescent="0.45">
      <c r="A840" s="10">
        <v>46042</v>
      </c>
      <c r="B840" s="1" t="s">
        <v>911</v>
      </c>
      <c r="C840" s="1" t="s">
        <v>64</v>
      </c>
      <c r="D840" s="1" t="s">
        <v>15</v>
      </c>
      <c r="E840" s="1" t="s">
        <v>62</v>
      </c>
      <c r="F840" s="1" t="s">
        <v>78</v>
      </c>
      <c r="G840" s="1" t="s">
        <v>14</v>
      </c>
      <c r="H840" s="1" t="s">
        <v>27</v>
      </c>
      <c r="I840" s="1">
        <v>164</v>
      </c>
      <c r="J840" s="1">
        <v>120</v>
      </c>
      <c r="K840" s="1">
        <v>0.1</v>
      </c>
      <c r="L840" s="1">
        <v>19680</v>
      </c>
      <c r="M840" s="1">
        <v>17712</v>
      </c>
      <c r="N840" s="1">
        <v>14665.11</v>
      </c>
      <c r="O840" s="1">
        <v>1.21</v>
      </c>
      <c r="P840" s="2" t="s">
        <v>73</v>
      </c>
      <c r="Q840" s="13" t="s">
        <v>16</v>
      </c>
    </row>
    <row r="841" spans="1:17" x14ac:dyDescent="0.45">
      <c r="A841" s="10">
        <v>46177</v>
      </c>
      <c r="B841" s="1" t="s">
        <v>912</v>
      </c>
      <c r="C841" s="1" t="s">
        <v>58</v>
      </c>
      <c r="D841" s="1" t="s">
        <v>15</v>
      </c>
      <c r="E841" s="1" t="s">
        <v>62</v>
      </c>
      <c r="F841" s="1" t="s">
        <v>95</v>
      </c>
      <c r="G841" s="1" t="s">
        <v>14</v>
      </c>
      <c r="H841" s="1" t="s">
        <v>18</v>
      </c>
      <c r="I841" s="1">
        <v>48</v>
      </c>
      <c r="J841" s="1">
        <v>250</v>
      </c>
      <c r="K841" s="1">
        <v>0.08</v>
      </c>
      <c r="L841" s="1">
        <v>12000</v>
      </c>
      <c r="M841" s="1">
        <v>11040</v>
      </c>
      <c r="N841" s="1">
        <v>12805.36</v>
      </c>
      <c r="O841" s="1">
        <v>0.86</v>
      </c>
      <c r="P841" s="2" t="s">
        <v>52</v>
      </c>
      <c r="Q841" s="14" t="s">
        <v>34</v>
      </c>
    </row>
    <row r="842" spans="1:17" x14ac:dyDescent="0.45">
      <c r="A842" s="10">
        <v>46125</v>
      </c>
      <c r="B842" s="1" t="s">
        <v>913</v>
      </c>
      <c r="C842" s="1" t="s">
        <v>75</v>
      </c>
      <c r="D842" s="1" t="s">
        <v>28</v>
      </c>
      <c r="E842" s="1" t="s">
        <v>82</v>
      </c>
      <c r="F842" s="1" t="s">
        <v>51</v>
      </c>
      <c r="G842" s="1" t="s">
        <v>20</v>
      </c>
      <c r="H842" s="1" t="s">
        <v>33</v>
      </c>
      <c r="I842" s="1">
        <v>16</v>
      </c>
      <c r="J842" s="1">
        <v>35</v>
      </c>
      <c r="K842" s="1">
        <v>0.09</v>
      </c>
      <c r="L842" s="1">
        <v>560</v>
      </c>
      <c r="M842" s="1">
        <v>509.6</v>
      </c>
      <c r="N842" s="1">
        <v>441.31</v>
      </c>
      <c r="O842" s="1">
        <v>1.1499999999999999</v>
      </c>
      <c r="P842" s="2" t="s">
        <v>52</v>
      </c>
      <c r="Q842" s="13" t="s">
        <v>29</v>
      </c>
    </row>
    <row r="843" spans="1:17" x14ac:dyDescent="0.45">
      <c r="A843" s="10">
        <v>46028</v>
      </c>
      <c r="B843" s="1" t="s">
        <v>914</v>
      </c>
      <c r="C843" s="1" t="s">
        <v>75</v>
      </c>
      <c r="D843" s="1" t="s">
        <v>28</v>
      </c>
      <c r="E843" s="1" t="s">
        <v>65</v>
      </c>
      <c r="F843" s="1" t="s">
        <v>51</v>
      </c>
      <c r="G843" s="1" t="s">
        <v>24</v>
      </c>
      <c r="H843" s="1" t="s">
        <v>35</v>
      </c>
      <c r="I843" s="1">
        <v>146</v>
      </c>
      <c r="J843" s="1">
        <v>30</v>
      </c>
      <c r="K843" s="1">
        <v>0.13</v>
      </c>
      <c r="L843" s="1">
        <v>4380</v>
      </c>
      <c r="M843" s="1">
        <v>3810.6</v>
      </c>
      <c r="N843" s="1">
        <v>4072.17</v>
      </c>
      <c r="O843" s="1">
        <v>0.94</v>
      </c>
      <c r="P843" s="2" t="s">
        <v>73</v>
      </c>
      <c r="Q843" s="14" t="s">
        <v>16</v>
      </c>
    </row>
    <row r="844" spans="1:17" x14ac:dyDescent="0.45">
      <c r="A844" s="10">
        <v>46149</v>
      </c>
      <c r="B844" s="1" t="s">
        <v>915</v>
      </c>
      <c r="C844" s="1" t="s">
        <v>54</v>
      </c>
      <c r="D844" s="1" t="s">
        <v>21</v>
      </c>
      <c r="E844" s="1" t="s">
        <v>50</v>
      </c>
      <c r="F844" s="1" t="s">
        <v>78</v>
      </c>
      <c r="G844" s="1" t="s">
        <v>14</v>
      </c>
      <c r="H844" s="1" t="s">
        <v>27</v>
      </c>
      <c r="I844" s="1">
        <v>106</v>
      </c>
      <c r="J844" s="1">
        <v>120</v>
      </c>
      <c r="K844" s="1">
        <v>0</v>
      </c>
      <c r="L844" s="1">
        <v>12720</v>
      </c>
      <c r="M844" s="1">
        <v>12720</v>
      </c>
      <c r="N844" s="1">
        <v>13808.14</v>
      </c>
      <c r="O844" s="1">
        <v>0.92</v>
      </c>
      <c r="P844" s="2" t="s">
        <v>73</v>
      </c>
      <c r="Q844" s="13" t="s">
        <v>32</v>
      </c>
    </row>
    <row r="845" spans="1:17" x14ac:dyDescent="0.45">
      <c r="A845" s="10">
        <v>46176</v>
      </c>
      <c r="B845" s="1" t="s">
        <v>916</v>
      </c>
      <c r="C845" s="1" t="s">
        <v>58</v>
      </c>
      <c r="D845" s="1" t="s">
        <v>15</v>
      </c>
      <c r="E845" s="1" t="s">
        <v>62</v>
      </c>
      <c r="F845" s="1" t="s">
        <v>95</v>
      </c>
      <c r="G845" s="1" t="s">
        <v>14</v>
      </c>
      <c r="H845" s="1" t="s">
        <v>18</v>
      </c>
      <c r="I845" s="1">
        <v>148</v>
      </c>
      <c r="J845" s="1">
        <v>250</v>
      </c>
      <c r="K845" s="1">
        <v>0.02</v>
      </c>
      <c r="L845" s="1">
        <v>37000</v>
      </c>
      <c r="M845" s="1">
        <v>36260</v>
      </c>
      <c r="N845" s="1">
        <v>34067.72</v>
      </c>
      <c r="O845" s="1">
        <v>1.06</v>
      </c>
      <c r="P845" s="2" t="s">
        <v>73</v>
      </c>
      <c r="Q845" s="14" t="s">
        <v>34</v>
      </c>
    </row>
    <row r="846" spans="1:17" x14ac:dyDescent="0.45">
      <c r="A846" s="10">
        <v>46074</v>
      </c>
      <c r="B846" s="1" t="s">
        <v>917</v>
      </c>
      <c r="C846" s="1" t="s">
        <v>49</v>
      </c>
      <c r="D846" s="1" t="s">
        <v>28</v>
      </c>
      <c r="E846" s="1" t="s">
        <v>59</v>
      </c>
      <c r="F846" s="1" t="s">
        <v>60</v>
      </c>
      <c r="G846" s="1" t="s">
        <v>24</v>
      </c>
      <c r="H846" s="1" t="s">
        <v>30</v>
      </c>
      <c r="I846" s="1">
        <v>40</v>
      </c>
      <c r="J846" s="1">
        <v>40</v>
      </c>
      <c r="K846" s="1">
        <v>0.04</v>
      </c>
      <c r="L846" s="1">
        <v>1600</v>
      </c>
      <c r="M846" s="1">
        <v>1536</v>
      </c>
      <c r="N846" s="1">
        <v>1504.06</v>
      </c>
      <c r="O846" s="1">
        <v>1.02</v>
      </c>
      <c r="P846" s="2" t="s">
        <v>73</v>
      </c>
      <c r="Q846" s="13" t="s">
        <v>22</v>
      </c>
    </row>
    <row r="847" spans="1:17" x14ac:dyDescent="0.45">
      <c r="A847" s="10">
        <v>46051</v>
      </c>
      <c r="B847" s="1" t="s">
        <v>918</v>
      </c>
      <c r="C847" s="1" t="s">
        <v>75</v>
      </c>
      <c r="D847" s="1" t="s">
        <v>21</v>
      </c>
      <c r="E847" s="1" t="s">
        <v>80</v>
      </c>
      <c r="F847" s="1" t="s">
        <v>71</v>
      </c>
      <c r="G847" s="1" t="s">
        <v>24</v>
      </c>
      <c r="H847" s="1" t="s">
        <v>35</v>
      </c>
      <c r="I847" s="1">
        <v>85</v>
      </c>
      <c r="J847" s="1">
        <v>30</v>
      </c>
      <c r="K847" s="1">
        <v>0.14000000000000001</v>
      </c>
      <c r="L847" s="1">
        <v>2550</v>
      </c>
      <c r="M847" s="1">
        <v>2193</v>
      </c>
      <c r="N847" s="1">
        <v>2177.89</v>
      </c>
      <c r="O847" s="1">
        <v>1.01</v>
      </c>
      <c r="P847" s="2" t="s">
        <v>52</v>
      </c>
      <c r="Q847" s="14" t="s">
        <v>16</v>
      </c>
    </row>
    <row r="848" spans="1:17" x14ac:dyDescent="0.45">
      <c r="A848" s="10">
        <v>46102</v>
      </c>
      <c r="B848" s="1" t="s">
        <v>919</v>
      </c>
      <c r="C848" s="1" t="s">
        <v>58</v>
      </c>
      <c r="D848" s="1" t="s">
        <v>15</v>
      </c>
      <c r="E848" s="1" t="s">
        <v>62</v>
      </c>
      <c r="F848" s="1" t="s">
        <v>51</v>
      </c>
      <c r="G848" s="1" t="s">
        <v>24</v>
      </c>
      <c r="H848" s="1" t="s">
        <v>35</v>
      </c>
      <c r="I848" s="1">
        <v>62</v>
      </c>
      <c r="J848" s="1">
        <v>30</v>
      </c>
      <c r="K848" s="1">
        <v>0.08</v>
      </c>
      <c r="L848" s="1">
        <v>1860</v>
      </c>
      <c r="M848" s="1">
        <v>1711.2</v>
      </c>
      <c r="N848" s="1">
        <v>1556.56</v>
      </c>
      <c r="O848" s="1">
        <v>1.1000000000000001</v>
      </c>
      <c r="P848" s="2" t="s">
        <v>73</v>
      </c>
      <c r="Q848" s="13" t="s">
        <v>26</v>
      </c>
    </row>
    <row r="849" spans="1:17" x14ac:dyDescent="0.45">
      <c r="A849" s="10">
        <v>46144</v>
      </c>
      <c r="B849" s="1" t="s">
        <v>920</v>
      </c>
      <c r="C849" s="1" t="s">
        <v>58</v>
      </c>
      <c r="D849" s="1" t="s">
        <v>25</v>
      </c>
      <c r="E849" s="1" t="s">
        <v>98</v>
      </c>
      <c r="F849" s="1" t="s">
        <v>51</v>
      </c>
      <c r="G849" s="1" t="s">
        <v>24</v>
      </c>
      <c r="H849" s="1" t="s">
        <v>35</v>
      </c>
      <c r="I849" s="1">
        <v>145</v>
      </c>
      <c r="J849" s="1">
        <v>30</v>
      </c>
      <c r="K849" s="1">
        <v>0.01</v>
      </c>
      <c r="L849" s="1">
        <v>4350</v>
      </c>
      <c r="M849" s="1">
        <v>4306.5</v>
      </c>
      <c r="N849" s="1">
        <v>3691.86</v>
      </c>
      <c r="O849" s="1">
        <v>1.17</v>
      </c>
      <c r="P849" s="2" t="s">
        <v>73</v>
      </c>
      <c r="Q849" s="14" t="s">
        <v>32</v>
      </c>
    </row>
    <row r="850" spans="1:17" x14ac:dyDescent="0.45">
      <c r="A850" s="10">
        <v>46168</v>
      </c>
      <c r="B850" s="1" t="s">
        <v>921</v>
      </c>
      <c r="C850" s="1" t="s">
        <v>54</v>
      </c>
      <c r="D850" s="1" t="s">
        <v>28</v>
      </c>
      <c r="E850" s="1" t="s">
        <v>59</v>
      </c>
      <c r="F850" s="1" t="s">
        <v>95</v>
      </c>
      <c r="G850" s="1" t="s">
        <v>20</v>
      </c>
      <c r="H850" s="1" t="s">
        <v>33</v>
      </c>
      <c r="I850" s="1">
        <v>191</v>
      </c>
      <c r="J850" s="1">
        <v>35</v>
      </c>
      <c r="K850" s="1">
        <v>0.08</v>
      </c>
      <c r="L850" s="1">
        <v>6685</v>
      </c>
      <c r="M850" s="1">
        <v>6150.2</v>
      </c>
      <c r="N850" s="1">
        <v>5710.75</v>
      </c>
      <c r="O850" s="1">
        <v>1.08</v>
      </c>
      <c r="P850" s="2" t="s">
        <v>52</v>
      </c>
      <c r="Q850" s="13" t="s">
        <v>32</v>
      </c>
    </row>
    <row r="851" spans="1:17" x14ac:dyDescent="0.45">
      <c r="A851" s="10">
        <v>46040</v>
      </c>
      <c r="B851" s="1" t="s">
        <v>922</v>
      </c>
      <c r="C851" s="1" t="s">
        <v>54</v>
      </c>
      <c r="D851" s="1" t="s">
        <v>25</v>
      </c>
      <c r="E851" s="1" t="s">
        <v>98</v>
      </c>
      <c r="F851" s="1" t="s">
        <v>95</v>
      </c>
      <c r="G851" s="1" t="s">
        <v>24</v>
      </c>
      <c r="H851" s="1" t="s">
        <v>30</v>
      </c>
      <c r="I851" s="1">
        <v>76</v>
      </c>
      <c r="J851" s="1">
        <v>40</v>
      </c>
      <c r="K851" s="1">
        <v>0.14000000000000001</v>
      </c>
      <c r="L851" s="1">
        <v>3040</v>
      </c>
      <c r="M851" s="1">
        <v>2614.4</v>
      </c>
      <c r="N851" s="1">
        <v>2253.04</v>
      </c>
      <c r="O851" s="1">
        <v>1.1599999999999999</v>
      </c>
      <c r="P851" s="2" t="s">
        <v>52</v>
      </c>
      <c r="Q851" s="14" t="s">
        <v>16</v>
      </c>
    </row>
    <row r="852" spans="1:17" x14ac:dyDescent="0.45">
      <c r="A852" s="10">
        <v>46145</v>
      </c>
      <c r="B852" s="1" t="s">
        <v>923</v>
      </c>
      <c r="C852" s="1" t="s">
        <v>75</v>
      </c>
      <c r="D852" s="1" t="s">
        <v>15</v>
      </c>
      <c r="E852" s="1" t="s">
        <v>55</v>
      </c>
      <c r="F852" s="1" t="s">
        <v>71</v>
      </c>
      <c r="G852" s="1" t="s">
        <v>24</v>
      </c>
      <c r="H852" s="1" t="s">
        <v>30</v>
      </c>
      <c r="I852" s="1">
        <v>150</v>
      </c>
      <c r="J852" s="1">
        <v>40</v>
      </c>
      <c r="K852" s="1">
        <v>0.1</v>
      </c>
      <c r="L852" s="1">
        <v>6000</v>
      </c>
      <c r="M852" s="1">
        <v>5400</v>
      </c>
      <c r="N852" s="1">
        <v>4506.07</v>
      </c>
      <c r="O852" s="1">
        <v>1.2</v>
      </c>
      <c r="P852" s="2" t="s">
        <v>52</v>
      </c>
      <c r="Q852" s="13" t="s">
        <v>32</v>
      </c>
    </row>
    <row r="853" spans="1:17" x14ac:dyDescent="0.45">
      <c r="A853" s="10">
        <v>46114</v>
      </c>
      <c r="B853" s="1" t="s">
        <v>924</v>
      </c>
      <c r="C853" s="1" t="s">
        <v>64</v>
      </c>
      <c r="D853" s="1" t="s">
        <v>21</v>
      </c>
      <c r="E853" s="1" t="s">
        <v>50</v>
      </c>
      <c r="F853" s="1" t="s">
        <v>60</v>
      </c>
      <c r="G853" s="1" t="s">
        <v>20</v>
      </c>
      <c r="H853" s="1" t="s">
        <v>33</v>
      </c>
      <c r="I853" s="1">
        <v>184</v>
      </c>
      <c r="J853" s="1">
        <v>35</v>
      </c>
      <c r="K853" s="1">
        <v>0.13</v>
      </c>
      <c r="L853" s="1">
        <v>6440</v>
      </c>
      <c r="M853" s="1">
        <v>5602.8</v>
      </c>
      <c r="N853" s="1">
        <v>5537.07</v>
      </c>
      <c r="O853" s="1">
        <v>1.01</v>
      </c>
      <c r="P853" s="2" t="s">
        <v>52</v>
      </c>
      <c r="Q853" s="14" t="s">
        <v>29</v>
      </c>
    </row>
    <row r="854" spans="1:17" x14ac:dyDescent="0.45">
      <c r="A854" s="10">
        <v>46190</v>
      </c>
      <c r="B854" s="1" t="s">
        <v>925</v>
      </c>
      <c r="C854" s="1" t="s">
        <v>49</v>
      </c>
      <c r="D854" s="1" t="s">
        <v>15</v>
      </c>
      <c r="E854" s="1" t="s">
        <v>55</v>
      </c>
      <c r="F854" s="1" t="s">
        <v>71</v>
      </c>
      <c r="G854" s="1" t="s">
        <v>14</v>
      </c>
      <c r="H854" s="1" t="s">
        <v>18</v>
      </c>
      <c r="I854" s="1">
        <v>120</v>
      </c>
      <c r="J854" s="1">
        <v>250</v>
      </c>
      <c r="K854" s="1">
        <v>0.11</v>
      </c>
      <c r="L854" s="1">
        <v>30000</v>
      </c>
      <c r="M854" s="1">
        <v>26700</v>
      </c>
      <c r="N854" s="1">
        <v>21783.59</v>
      </c>
      <c r="O854" s="1">
        <v>1.23</v>
      </c>
      <c r="P854" s="2" t="s">
        <v>73</v>
      </c>
      <c r="Q854" s="13" t="s">
        <v>34</v>
      </c>
    </row>
    <row r="855" spans="1:17" x14ac:dyDescent="0.45">
      <c r="A855" s="10">
        <v>46069</v>
      </c>
      <c r="B855" s="1" t="s">
        <v>926</v>
      </c>
      <c r="C855" s="1" t="s">
        <v>58</v>
      </c>
      <c r="D855" s="1" t="s">
        <v>21</v>
      </c>
      <c r="E855" s="1" t="s">
        <v>50</v>
      </c>
      <c r="F855" s="1" t="s">
        <v>71</v>
      </c>
      <c r="G855" s="1" t="s">
        <v>24</v>
      </c>
      <c r="H855" s="1" t="s">
        <v>35</v>
      </c>
      <c r="I855" s="1">
        <v>146</v>
      </c>
      <c r="J855" s="1">
        <v>30</v>
      </c>
      <c r="K855" s="1">
        <v>0.09</v>
      </c>
      <c r="L855" s="1">
        <v>4380</v>
      </c>
      <c r="M855" s="1">
        <v>3985.8</v>
      </c>
      <c r="N855" s="1">
        <v>3396.04</v>
      </c>
      <c r="O855" s="1">
        <v>1.17</v>
      </c>
      <c r="P855" s="2" t="s">
        <v>73</v>
      </c>
      <c r="Q855" s="14" t="s">
        <v>22</v>
      </c>
    </row>
    <row r="856" spans="1:17" x14ac:dyDescent="0.45">
      <c r="A856" s="10">
        <v>46108</v>
      </c>
      <c r="B856" s="1" t="s">
        <v>927</v>
      </c>
      <c r="C856" s="1" t="s">
        <v>67</v>
      </c>
      <c r="D856" s="1" t="s">
        <v>15</v>
      </c>
      <c r="E856" s="1" t="s">
        <v>62</v>
      </c>
      <c r="F856" s="1" t="s">
        <v>71</v>
      </c>
      <c r="G856" s="1" t="s">
        <v>20</v>
      </c>
      <c r="H856" s="1" t="s">
        <v>33</v>
      </c>
      <c r="I856" s="1">
        <v>110</v>
      </c>
      <c r="J856" s="1">
        <v>35</v>
      </c>
      <c r="K856" s="1">
        <v>0.01</v>
      </c>
      <c r="L856" s="1">
        <v>3850</v>
      </c>
      <c r="M856" s="1">
        <v>3811.5</v>
      </c>
      <c r="N856" s="1">
        <v>4438.29</v>
      </c>
      <c r="O856" s="1">
        <v>0.86</v>
      </c>
      <c r="P856" s="2" t="s">
        <v>73</v>
      </c>
      <c r="Q856" s="13" t="s">
        <v>26</v>
      </c>
    </row>
    <row r="857" spans="1:17" x14ac:dyDescent="0.45">
      <c r="A857" s="10">
        <v>46092</v>
      </c>
      <c r="B857" s="1" t="s">
        <v>928</v>
      </c>
      <c r="C857" s="1" t="s">
        <v>75</v>
      </c>
      <c r="D857" s="1" t="s">
        <v>28</v>
      </c>
      <c r="E857" s="1" t="s">
        <v>70</v>
      </c>
      <c r="F857" s="1" t="s">
        <v>71</v>
      </c>
      <c r="G857" s="1" t="s">
        <v>14</v>
      </c>
      <c r="H857" s="1" t="s">
        <v>18</v>
      </c>
      <c r="I857" s="1">
        <v>65</v>
      </c>
      <c r="J857" s="1">
        <v>250</v>
      </c>
      <c r="K857" s="1">
        <v>0.15</v>
      </c>
      <c r="L857" s="1">
        <v>16250</v>
      </c>
      <c r="M857" s="1">
        <v>13812.5</v>
      </c>
      <c r="N857" s="1">
        <v>14186.4</v>
      </c>
      <c r="O857" s="1">
        <v>0.97</v>
      </c>
      <c r="P857" s="2" t="s">
        <v>52</v>
      </c>
      <c r="Q857" s="14" t="s">
        <v>26</v>
      </c>
    </row>
    <row r="858" spans="1:17" x14ac:dyDescent="0.45">
      <c r="A858" s="10">
        <v>46070</v>
      </c>
      <c r="B858" s="1" t="s">
        <v>929</v>
      </c>
      <c r="C858" s="1" t="s">
        <v>67</v>
      </c>
      <c r="D858" s="1" t="s">
        <v>15</v>
      </c>
      <c r="E858" s="1" t="s">
        <v>55</v>
      </c>
      <c r="F858" s="1" t="s">
        <v>56</v>
      </c>
      <c r="G858" s="1" t="s">
        <v>24</v>
      </c>
      <c r="H858" s="1" t="s">
        <v>35</v>
      </c>
      <c r="I858" s="1">
        <v>24</v>
      </c>
      <c r="J858" s="1">
        <v>30</v>
      </c>
      <c r="K858" s="1">
        <v>0.06</v>
      </c>
      <c r="L858" s="1">
        <v>720</v>
      </c>
      <c r="M858" s="1">
        <v>676.8</v>
      </c>
      <c r="N858" s="1">
        <v>779.79</v>
      </c>
      <c r="O858" s="1">
        <v>0.87</v>
      </c>
      <c r="P858" s="2" t="s">
        <v>73</v>
      </c>
      <c r="Q858" s="13" t="s">
        <v>22</v>
      </c>
    </row>
    <row r="859" spans="1:17" x14ac:dyDescent="0.45">
      <c r="A859" s="10">
        <v>46035</v>
      </c>
      <c r="B859" s="1" t="s">
        <v>930</v>
      </c>
      <c r="C859" s="1" t="s">
        <v>75</v>
      </c>
      <c r="D859" s="1" t="s">
        <v>21</v>
      </c>
      <c r="E859" s="1" t="s">
        <v>50</v>
      </c>
      <c r="F859" s="1" t="s">
        <v>78</v>
      </c>
      <c r="G859" s="1" t="s">
        <v>20</v>
      </c>
      <c r="H859" s="1" t="s">
        <v>23</v>
      </c>
      <c r="I859" s="1">
        <v>96</v>
      </c>
      <c r="J859" s="1">
        <v>180</v>
      </c>
      <c r="K859" s="1">
        <v>0</v>
      </c>
      <c r="L859" s="1">
        <v>17280</v>
      </c>
      <c r="M859" s="1">
        <v>17280</v>
      </c>
      <c r="N859" s="1">
        <v>19367.53</v>
      </c>
      <c r="O859" s="1">
        <v>0.89</v>
      </c>
      <c r="P859" s="2" t="s">
        <v>52</v>
      </c>
      <c r="Q859" s="14" t="s">
        <v>16</v>
      </c>
    </row>
    <row r="860" spans="1:17" x14ac:dyDescent="0.45">
      <c r="A860" s="10">
        <v>46153</v>
      </c>
      <c r="B860" s="1" t="s">
        <v>931</v>
      </c>
      <c r="C860" s="1" t="s">
        <v>75</v>
      </c>
      <c r="D860" s="1" t="s">
        <v>15</v>
      </c>
      <c r="E860" s="1" t="s">
        <v>55</v>
      </c>
      <c r="F860" s="1" t="s">
        <v>56</v>
      </c>
      <c r="G860" s="1" t="s">
        <v>20</v>
      </c>
      <c r="H860" s="1" t="s">
        <v>33</v>
      </c>
      <c r="I860" s="1">
        <v>45</v>
      </c>
      <c r="J860" s="1">
        <v>35</v>
      </c>
      <c r="K860" s="1">
        <v>0.03</v>
      </c>
      <c r="L860" s="1">
        <v>1575</v>
      </c>
      <c r="M860" s="1">
        <v>1527.75</v>
      </c>
      <c r="N860" s="1">
        <v>1528.57</v>
      </c>
      <c r="O860" s="1">
        <v>1</v>
      </c>
      <c r="P860" s="2" t="s">
        <v>52</v>
      </c>
      <c r="Q860" s="13" t="s">
        <v>32</v>
      </c>
    </row>
    <row r="861" spans="1:17" x14ac:dyDescent="0.45">
      <c r="A861" s="10">
        <v>46148</v>
      </c>
      <c r="B861" s="1" t="s">
        <v>932</v>
      </c>
      <c r="C861" s="1" t="s">
        <v>67</v>
      </c>
      <c r="D861" s="1" t="s">
        <v>28</v>
      </c>
      <c r="E861" s="1" t="s">
        <v>70</v>
      </c>
      <c r="F861" s="1" t="s">
        <v>71</v>
      </c>
      <c r="G861" s="1" t="s">
        <v>14</v>
      </c>
      <c r="H861" s="1" t="s">
        <v>18</v>
      </c>
      <c r="I861" s="1">
        <v>99</v>
      </c>
      <c r="J861" s="1">
        <v>250</v>
      </c>
      <c r="K861" s="1">
        <v>7.0000000000000007E-2</v>
      </c>
      <c r="L861" s="1">
        <v>24750</v>
      </c>
      <c r="M861" s="1">
        <v>23017.5</v>
      </c>
      <c r="N861" s="1">
        <v>26571.63</v>
      </c>
      <c r="O861" s="1">
        <v>0.87</v>
      </c>
      <c r="P861" s="2" t="s">
        <v>73</v>
      </c>
      <c r="Q861" s="14" t="s">
        <v>32</v>
      </c>
    </row>
    <row r="862" spans="1:17" x14ac:dyDescent="0.45">
      <c r="A862" s="10">
        <v>46150</v>
      </c>
      <c r="B862" s="1" t="s">
        <v>933</v>
      </c>
      <c r="C862" s="1" t="s">
        <v>58</v>
      </c>
      <c r="D862" s="1" t="s">
        <v>28</v>
      </c>
      <c r="E862" s="1" t="s">
        <v>70</v>
      </c>
      <c r="F862" s="1" t="s">
        <v>95</v>
      </c>
      <c r="G862" s="1" t="s">
        <v>20</v>
      </c>
      <c r="H862" s="1" t="s">
        <v>33</v>
      </c>
      <c r="I862" s="1">
        <v>102</v>
      </c>
      <c r="J862" s="1">
        <v>35</v>
      </c>
      <c r="K862" s="1">
        <v>0.09</v>
      </c>
      <c r="L862" s="1">
        <v>3570</v>
      </c>
      <c r="M862" s="1">
        <v>3248.7</v>
      </c>
      <c r="N862" s="1">
        <v>3447.63</v>
      </c>
      <c r="O862" s="1">
        <v>0.94</v>
      </c>
      <c r="P862" s="2" t="s">
        <v>73</v>
      </c>
      <c r="Q862" s="13" t="s">
        <v>32</v>
      </c>
    </row>
    <row r="863" spans="1:17" x14ac:dyDescent="0.45">
      <c r="A863" s="10">
        <v>46145</v>
      </c>
      <c r="B863" s="1" t="s">
        <v>934</v>
      </c>
      <c r="C863" s="1" t="s">
        <v>58</v>
      </c>
      <c r="D863" s="1" t="s">
        <v>28</v>
      </c>
      <c r="E863" s="1" t="s">
        <v>70</v>
      </c>
      <c r="F863" s="1" t="s">
        <v>71</v>
      </c>
      <c r="G863" s="1" t="s">
        <v>20</v>
      </c>
      <c r="H863" s="1" t="s">
        <v>33</v>
      </c>
      <c r="I863" s="1">
        <v>21</v>
      </c>
      <c r="J863" s="1">
        <v>35</v>
      </c>
      <c r="K863" s="1">
        <v>0.05</v>
      </c>
      <c r="L863" s="1">
        <v>735</v>
      </c>
      <c r="M863" s="1">
        <v>698.25</v>
      </c>
      <c r="N863" s="1">
        <v>798.27</v>
      </c>
      <c r="O863" s="1">
        <v>0.87</v>
      </c>
      <c r="P863" s="2" t="s">
        <v>73</v>
      </c>
      <c r="Q863" s="14" t="s">
        <v>32</v>
      </c>
    </row>
    <row r="864" spans="1:17" x14ac:dyDescent="0.45">
      <c r="A864" s="10">
        <v>46078</v>
      </c>
      <c r="B864" s="1" t="s">
        <v>935</v>
      </c>
      <c r="C864" s="1" t="s">
        <v>49</v>
      </c>
      <c r="D864" s="1" t="s">
        <v>21</v>
      </c>
      <c r="E864" s="1" t="s">
        <v>80</v>
      </c>
      <c r="F864" s="1" t="s">
        <v>71</v>
      </c>
      <c r="G864" s="1" t="s">
        <v>14</v>
      </c>
      <c r="H864" s="1" t="s">
        <v>27</v>
      </c>
      <c r="I864" s="1">
        <v>80</v>
      </c>
      <c r="J864" s="1">
        <v>120</v>
      </c>
      <c r="K864" s="1">
        <v>0.09</v>
      </c>
      <c r="L864" s="1">
        <v>9600</v>
      </c>
      <c r="M864" s="1">
        <v>8736</v>
      </c>
      <c r="N864" s="1">
        <v>7061.6</v>
      </c>
      <c r="O864" s="1">
        <v>1.24</v>
      </c>
      <c r="P864" s="2" t="s">
        <v>73</v>
      </c>
      <c r="Q864" s="13" t="s">
        <v>22</v>
      </c>
    </row>
    <row r="865" spans="1:17" x14ac:dyDescent="0.45">
      <c r="A865" s="10">
        <v>46173</v>
      </c>
      <c r="B865" s="1" t="s">
        <v>936</v>
      </c>
      <c r="C865" s="1" t="s">
        <v>64</v>
      </c>
      <c r="D865" s="1" t="s">
        <v>21</v>
      </c>
      <c r="E865" s="1" t="s">
        <v>80</v>
      </c>
      <c r="F865" s="1" t="s">
        <v>71</v>
      </c>
      <c r="G865" s="1" t="s">
        <v>20</v>
      </c>
      <c r="H865" s="1" t="s">
        <v>33</v>
      </c>
      <c r="I865" s="1">
        <v>45</v>
      </c>
      <c r="J865" s="1">
        <v>35</v>
      </c>
      <c r="K865" s="1">
        <v>0.12</v>
      </c>
      <c r="L865" s="1">
        <v>1575</v>
      </c>
      <c r="M865" s="1">
        <v>1386</v>
      </c>
      <c r="N865" s="1">
        <v>1159.93</v>
      </c>
      <c r="O865" s="1">
        <v>1.19</v>
      </c>
      <c r="P865" s="2" t="s">
        <v>52</v>
      </c>
      <c r="Q865" s="14" t="s">
        <v>32</v>
      </c>
    </row>
    <row r="866" spans="1:17" x14ac:dyDescent="0.45">
      <c r="A866" s="10">
        <v>46167</v>
      </c>
      <c r="B866" s="1" t="s">
        <v>937</v>
      </c>
      <c r="C866" s="1" t="s">
        <v>67</v>
      </c>
      <c r="D866" s="1" t="s">
        <v>15</v>
      </c>
      <c r="E866" s="1" t="s">
        <v>62</v>
      </c>
      <c r="F866" s="1" t="s">
        <v>56</v>
      </c>
      <c r="G866" s="1" t="s">
        <v>20</v>
      </c>
      <c r="H866" s="1" t="s">
        <v>23</v>
      </c>
      <c r="I866" s="1">
        <v>126</v>
      </c>
      <c r="J866" s="1">
        <v>180</v>
      </c>
      <c r="K866" s="1">
        <v>0.05</v>
      </c>
      <c r="L866" s="1">
        <v>22680</v>
      </c>
      <c r="M866" s="1">
        <v>21546</v>
      </c>
      <c r="N866" s="1">
        <v>25741.79</v>
      </c>
      <c r="O866" s="1">
        <v>0.84</v>
      </c>
      <c r="P866" s="2" t="s">
        <v>73</v>
      </c>
      <c r="Q866" s="13" t="s">
        <v>32</v>
      </c>
    </row>
    <row r="867" spans="1:17" x14ac:dyDescent="0.45">
      <c r="A867" s="10">
        <v>46087</v>
      </c>
      <c r="B867" s="1" t="s">
        <v>938</v>
      </c>
      <c r="C867" s="1" t="s">
        <v>49</v>
      </c>
      <c r="D867" s="1" t="s">
        <v>28</v>
      </c>
      <c r="E867" s="1" t="s">
        <v>70</v>
      </c>
      <c r="F867" s="1" t="s">
        <v>78</v>
      </c>
      <c r="G867" s="1" t="s">
        <v>14</v>
      </c>
      <c r="H867" s="1" t="s">
        <v>18</v>
      </c>
      <c r="I867" s="1">
        <v>173</v>
      </c>
      <c r="J867" s="1">
        <v>250</v>
      </c>
      <c r="K867" s="1">
        <v>0.01</v>
      </c>
      <c r="L867" s="1">
        <v>43250</v>
      </c>
      <c r="M867" s="1">
        <v>42817.5</v>
      </c>
      <c r="N867" s="1">
        <v>44551.95</v>
      </c>
      <c r="O867" s="1">
        <v>0.96</v>
      </c>
      <c r="P867" s="2" t="s">
        <v>52</v>
      </c>
      <c r="Q867" s="14" t="s">
        <v>26</v>
      </c>
    </row>
    <row r="868" spans="1:17" x14ac:dyDescent="0.45">
      <c r="A868" s="10">
        <v>46055</v>
      </c>
      <c r="B868" s="1" t="s">
        <v>939</v>
      </c>
      <c r="C868" s="1" t="s">
        <v>58</v>
      </c>
      <c r="D868" s="1" t="s">
        <v>21</v>
      </c>
      <c r="E868" s="1" t="s">
        <v>50</v>
      </c>
      <c r="F868" s="1" t="s">
        <v>95</v>
      </c>
      <c r="G868" s="1" t="s">
        <v>24</v>
      </c>
      <c r="H868" s="1" t="s">
        <v>35</v>
      </c>
      <c r="I868" s="1">
        <v>42</v>
      </c>
      <c r="J868" s="1">
        <v>30</v>
      </c>
      <c r="K868" s="1">
        <v>0.12</v>
      </c>
      <c r="L868" s="1">
        <v>1260</v>
      </c>
      <c r="M868" s="1">
        <v>1108.8</v>
      </c>
      <c r="N868" s="1">
        <v>1213.29</v>
      </c>
      <c r="O868" s="1">
        <v>0.91</v>
      </c>
      <c r="P868" s="2" t="s">
        <v>52</v>
      </c>
      <c r="Q868" s="13" t="s">
        <v>22</v>
      </c>
    </row>
    <row r="869" spans="1:17" x14ac:dyDescent="0.45">
      <c r="A869" s="10">
        <v>46027</v>
      </c>
      <c r="B869" s="1" t="s">
        <v>940</v>
      </c>
      <c r="C869" s="1" t="s">
        <v>54</v>
      </c>
      <c r="D869" s="1" t="s">
        <v>15</v>
      </c>
      <c r="E869" s="1" t="s">
        <v>62</v>
      </c>
      <c r="F869" s="1" t="s">
        <v>60</v>
      </c>
      <c r="G869" s="1" t="s">
        <v>24</v>
      </c>
      <c r="H869" s="1" t="s">
        <v>35</v>
      </c>
      <c r="I869" s="1">
        <v>53</v>
      </c>
      <c r="J869" s="1">
        <v>30</v>
      </c>
      <c r="K869" s="1">
        <v>0.01</v>
      </c>
      <c r="L869" s="1">
        <v>1590</v>
      </c>
      <c r="M869" s="1">
        <v>1574.1</v>
      </c>
      <c r="N869" s="1">
        <v>1748.66</v>
      </c>
      <c r="O869" s="1">
        <v>0.9</v>
      </c>
      <c r="P869" s="2" t="s">
        <v>73</v>
      </c>
      <c r="Q869" s="14" t="s">
        <v>16</v>
      </c>
    </row>
    <row r="870" spans="1:17" x14ac:dyDescent="0.45">
      <c r="A870" s="10">
        <v>46157</v>
      </c>
      <c r="B870" s="1" t="s">
        <v>941</v>
      </c>
      <c r="C870" s="1" t="s">
        <v>75</v>
      </c>
      <c r="D870" s="1" t="s">
        <v>15</v>
      </c>
      <c r="E870" s="1" t="s">
        <v>55</v>
      </c>
      <c r="F870" s="1" t="s">
        <v>95</v>
      </c>
      <c r="G870" s="1" t="s">
        <v>20</v>
      </c>
      <c r="H870" s="1" t="s">
        <v>33</v>
      </c>
      <c r="I870" s="1">
        <v>141</v>
      </c>
      <c r="J870" s="1">
        <v>35</v>
      </c>
      <c r="K870" s="1">
        <v>0.11</v>
      </c>
      <c r="L870" s="1">
        <v>4935</v>
      </c>
      <c r="M870" s="1">
        <v>4392.1499999999996</v>
      </c>
      <c r="N870" s="1">
        <v>3793.87</v>
      </c>
      <c r="O870" s="1">
        <v>1.1599999999999999</v>
      </c>
      <c r="P870" s="2" t="s">
        <v>52</v>
      </c>
      <c r="Q870" s="13" t="s">
        <v>32</v>
      </c>
    </row>
    <row r="871" spans="1:17" x14ac:dyDescent="0.45">
      <c r="A871" s="10">
        <v>46179</v>
      </c>
      <c r="B871" s="1" t="s">
        <v>942</v>
      </c>
      <c r="C871" s="1" t="s">
        <v>58</v>
      </c>
      <c r="D871" s="1" t="s">
        <v>25</v>
      </c>
      <c r="E871" s="1" t="s">
        <v>98</v>
      </c>
      <c r="F871" s="1" t="s">
        <v>56</v>
      </c>
      <c r="G871" s="1" t="s">
        <v>14</v>
      </c>
      <c r="H871" s="1" t="s">
        <v>27</v>
      </c>
      <c r="I871" s="1">
        <v>7</v>
      </c>
      <c r="J871" s="1">
        <v>120</v>
      </c>
      <c r="K871" s="1">
        <v>0.01</v>
      </c>
      <c r="L871" s="1">
        <v>840</v>
      </c>
      <c r="M871" s="1">
        <v>831.6</v>
      </c>
      <c r="N871" s="1">
        <v>937.47</v>
      </c>
      <c r="O871" s="1">
        <v>0.89</v>
      </c>
      <c r="P871" s="2" t="s">
        <v>73</v>
      </c>
      <c r="Q871" s="14" t="s">
        <v>34</v>
      </c>
    </row>
    <row r="872" spans="1:17" x14ac:dyDescent="0.45">
      <c r="A872" s="10">
        <v>46112</v>
      </c>
      <c r="B872" s="1" t="s">
        <v>943</v>
      </c>
      <c r="C872" s="1" t="s">
        <v>49</v>
      </c>
      <c r="D872" s="1" t="s">
        <v>15</v>
      </c>
      <c r="E872" s="1" t="s">
        <v>55</v>
      </c>
      <c r="F872" s="1" t="s">
        <v>95</v>
      </c>
      <c r="G872" s="1" t="s">
        <v>24</v>
      </c>
      <c r="H872" s="1" t="s">
        <v>30</v>
      </c>
      <c r="I872" s="1">
        <v>34</v>
      </c>
      <c r="J872" s="1">
        <v>40</v>
      </c>
      <c r="K872" s="1">
        <v>0.11</v>
      </c>
      <c r="L872" s="1">
        <v>1360</v>
      </c>
      <c r="M872" s="1">
        <v>1210.4000000000001</v>
      </c>
      <c r="N872" s="1">
        <v>1350.51</v>
      </c>
      <c r="O872" s="1">
        <v>0.9</v>
      </c>
      <c r="P872" s="2" t="s">
        <v>52</v>
      </c>
      <c r="Q872" s="13" t="s">
        <v>26</v>
      </c>
    </row>
    <row r="873" spans="1:17" x14ac:dyDescent="0.45">
      <c r="A873" s="10">
        <v>46091</v>
      </c>
      <c r="B873" s="1" t="s">
        <v>944</v>
      </c>
      <c r="C873" s="1" t="s">
        <v>64</v>
      </c>
      <c r="D873" s="1" t="s">
        <v>28</v>
      </c>
      <c r="E873" s="1" t="s">
        <v>70</v>
      </c>
      <c r="F873" s="1" t="s">
        <v>60</v>
      </c>
      <c r="G873" s="1" t="s">
        <v>20</v>
      </c>
      <c r="H873" s="1" t="s">
        <v>23</v>
      </c>
      <c r="I873" s="1">
        <v>78</v>
      </c>
      <c r="J873" s="1">
        <v>180</v>
      </c>
      <c r="K873" s="1">
        <v>0.01</v>
      </c>
      <c r="L873" s="1">
        <v>14040</v>
      </c>
      <c r="M873" s="1">
        <v>13899.6</v>
      </c>
      <c r="N873" s="1">
        <v>14100.57</v>
      </c>
      <c r="O873" s="1">
        <v>0.99</v>
      </c>
      <c r="P873" s="2" t="s">
        <v>73</v>
      </c>
      <c r="Q873" s="14" t="s">
        <v>26</v>
      </c>
    </row>
    <row r="874" spans="1:17" x14ac:dyDescent="0.45">
      <c r="A874" s="10">
        <v>46176</v>
      </c>
      <c r="B874" s="1" t="s">
        <v>945</v>
      </c>
      <c r="C874" s="1" t="s">
        <v>67</v>
      </c>
      <c r="D874" s="1" t="s">
        <v>28</v>
      </c>
      <c r="E874" s="1" t="s">
        <v>65</v>
      </c>
      <c r="F874" s="1" t="s">
        <v>51</v>
      </c>
      <c r="G874" s="1" t="s">
        <v>14</v>
      </c>
      <c r="H874" s="1" t="s">
        <v>27</v>
      </c>
      <c r="I874" s="1">
        <v>185</v>
      </c>
      <c r="J874" s="1">
        <v>120</v>
      </c>
      <c r="K874" s="1">
        <v>0.13</v>
      </c>
      <c r="L874" s="1">
        <v>22200</v>
      </c>
      <c r="M874" s="1">
        <v>19314</v>
      </c>
      <c r="N874" s="1">
        <v>22101</v>
      </c>
      <c r="O874" s="1">
        <v>0.87</v>
      </c>
      <c r="P874" s="2" t="s">
        <v>52</v>
      </c>
      <c r="Q874" s="13" t="s">
        <v>34</v>
      </c>
    </row>
    <row r="875" spans="1:17" x14ac:dyDescent="0.45">
      <c r="A875" s="10">
        <v>46115</v>
      </c>
      <c r="B875" s="1" t="s">
        <v>946</v>
      </c>
      <c r="C875" s="1" t="s">
        <v>67</v>
      </c>
      <c r="D875" s="1" t="s">
        <v>21</v>
      </c>
      <c r="E875" s="1" t="s">
        <v>50</v>
      </c>
      <c r="F875" s="1" t="s">
        <v>51</v>
      </c>
      <c r="G875" s="1" t="s">
        <v>20</v>
      </c>
      <c r="H875" s="1" t="s">
        <v>23</v>
      </c>
      <c r="I875" s="1">
        <v>17</v>
      </c>
      <c r="J875" s="1">
        <v>180</v>
      </c>
      <c r="K875" s="1">
        <v>0.02</v>
      </c>
      <c r="L875" s="1">
        <v>3060</v>
      </c>
      <c r="M875" s="1">
        <v>2998.8</v>
      </c>
      <c r="N875" s="1">
        <v>2448.8000000000002</v>
      </c>
      <c r="O875" s="1">
        <v>1.22</v>
      </c>
      <c r="P875" s="2" t="s">
        <v>52</v>
      </c>
      <c r="Q875" s="14" t="s">
        <v>29</v>
      </c>
    </row>
    <row r="876" spans="1:17" x14ac:dyDescent="0.45">
      <c r="A876" s="10">
        <v>46036</v>
      </c>
      <c r="B876" s="1" t="s">
        <v>947</v>
      </c>
      <c r="C876" s="1" t="s">
        <v>58</v>
      </c>
      <c r="D876" s="1" t="s">
        <v>25</v>
      </c>
      <c r="E876" s="1" t="s">
        <v>68</v>
      </c>
      <c r="F876" s="1" t="s">
        <v>78</v>
      </c>
      <c r="G876" s="1" t="s">
        <v>24</v>
      </c>
      <c r="H876" s="1" t="s">
        <v>35</v>
      </c>
      <c r="I876" s="1">
        <v>74</v>
      </c>
      <c r="J876" s="1">
        <v>30</v>
      </c>
      <c r="K876" s="1">
        <v>0.05</v>
      </c>
      <c r="L876" s="1">
        <v>2220</v>
      </c>
      <c r="M876" s="1">
        <v>2109</v>
      </c>
      <c r="N876" s="1">
        <v>2351.88</v>
      </c>
      <c r="O876" s="1">
        <v>0.9</v>
      </c>
      <c r="P876" s="2" t="s">
        <v>52</v>
      </c>
      <c r="Q876" s="13" t="s">
        <v>16</v>
      </c>
    </row>
    <row r="877" spans="1:17" x14ac:dyDescent="0.45">
      <c r="A877" s="10">
        <v>46202</v>
      </c>
      <c r="B877" s="1" t="s">
        <v>948</v>
      </c>
      <c r="C877" s="1" t="s">
        <v>67</v>
      </c>
      <c r="D877" s="1" t="s">
        <v>15</v>
      </c>
      <c r="E877" s="1" t="s">
        <v>62</v>
      </c>
      <c r="F877" s="1" t="s">
        <v>78</v>
      </c>
      <c r="G877" s="1" t="s">
        <v>24</v>
      </c>
      <c r="H877" s="1" t="s">
        <v>35</v>
      </c>
      <c r="I877" s="1">
        <v>52</v>
      </c>
      <c r="J877" s="1">
        <v>30</v>
      </c>
      <c r="K877" s="1">
        <v>0.1</v>
      </c>
      <c r="L877" s="1">
        <v>1560</v>
      </c>
      <c r="M877" s="1">
        <v>1404</v>
      </c>
      <c r="N877" s="1">
        <v>1509.23</v>
      </c>
      <c r="O877" s="1">
        <v>0.93</v>
      </c>
      <c r="P877" s="2" t="s">
        <v>73</v>
      </c>
      <c r="Q877" s="14" t="s">
        <v>34</v>
      </c>
    </row>
    <row r="878" spans="1:17" x14ac:dyDescent="0.45">
      <c r="A878" s="10">
        <v>46189</v>
      </c>
      <c r="B878" s="1" t="s">
        <v>949</v>
      </c>
      <c r="C878" s="1" t="s">
        <v>75</v>
      </c>
      <c r="D878" s="1" t="s">
        <v>28</v>
      </c>
      <c r="E878" s="1" t="s">
        <v>59</v>
      </c>
      <c r="F878" s="1" t="s">
        <v>71</v>
      </c>
      <c r="G878" s="1" t="s">
        <v>14</v>
      </c>
      <c r="H878" s="1" t="s">
        <v>27</v>
      </c>
      <c r="I878" s="1">
        <v>135</v>
      </c>
      <c r="J878" s="1">
        <v>120</v>
      </c>
      <c r="K878" s="1">
        <v>0.1</v>
      </c>
      <c r="L878" s="1">
        <v>16200</v>
      </c>
      <c r="M878" s="1">
        <v>14580</v>
      </c>
      <c r="N878" s="1">
        <v>13342.19</v>
      </c>
      <c r="O878" s="1">
        <v>1.0900000000000001</v>
      </c>
      <c r="P878" s="2" t="s">
        <v>52</v>
      </c>
      <c r="Q878" s="13" t="s">
        <v>34</v>
      </c>
    </row>
    <row r="879" spans="1:17" x14ac:dyDescent="0.45">
      <c r="A879" s="10">
        <v>46031</v>
      </c>
      <c r="B879" s="1" t="s">
        <v>950</v>
      </c>
      <c r="C879" s="1" t="s">
        <v>75</v>
      </c>
      <c r="D879" s="1" t="s">
        <v>28</v>
      </c>
      <c r="E879" s="1" t="s">
        <v>65</v>
      </c>
      <c r="F879" s="1" t="s">
        <v>95</v>
      </c>
      <c r="G879" s="1" t="s">
        <v>20</v>
      </c>
      <c r="H879" s="1" t="s">
        <v>23</v>
      </c>
      <c r="I879" s="1">
        <v>51</v>
      </c>
      <c r="J879" s="1">
        <v>180</v>
      </c>
      <c r="K879" s="1">
        <v>0.05</v>
      </c>
      <c r="L879" s="1">
        <v>9180</v>
      </c>
      <c r="M879" s="1">
        <v>8721</v>
      </c>
      <c r="N879" s="1">
        <v>6985.96</v>
      </c>
      <c r="O879" s="1">
        <v>1.25</v>
      </c>
      <c r="P879" s="2" t="s">
        <v>73</v>
      </c>
      <c r="Q879" s="14" t="s">
        <v>16</v>
      </c>
    </row>
    <row r="880" spans="1:17" x14ac:dyDescent="0.45">
      <c r="A880" s="10">
        <v>46123</v>
      </c>
      <c r="B880" s="1" t="s">
        <v>951</v>
      </c>
      <c r="C880" s="1" t="s">
        <v>64</v>
      </c>
      <c r="D880" s="1" t="s">
        <v>15</v>
      </c>
      <c r="E880" s="1" t="s">
        <v>62</v>
      </c>
      <c r="F880" s="1" t="s">
        <v>56</v>
      </c>
      <c r="G880" s="1" t="s">
        <v>20</v>
      </c>
      <c r="H880" s="1" t="s">
        <v>23</v>
      </c>
      <c r="I880" s="1">
        <v>83</v>
      </c>
      <c r="J880" s="1">
        <v>180</v>
      </c>
      <c r="K880" s="1">
        <v>0.05</v>
      </c>
      <c r="L880" s="1">
        <v>14940</v>
      </c>
      <c r="M880" s="1">
        <v>14193</v>
      </c>
      <c r="N880" s="1">
        <v>12798.72</v>
      </c>
      <c r="O880" s="1">
        <v>1.1100000000000001</v>
      </c>
      <c r="P880" s="2" t="s">
        <v>73</v>
      </c>
      <c r="Q880" s="13" t="s">
        <v>29</v>
      </c>
    </row>
    <row r="881" spans="1:17" x14ac:dyDescent="0.45">
      <c r="A881" s="10">
        <v>46155</v>
      </c>
      <c r="B881" s="1" t="s">
        <v>952</v>
      </c>
      <c r="C881" s="1" t="s">
        <v>58</v>
      </c>
      <c r="D881" s="1" t="s">
        <v>15</v>
      </c>
      <c r="E881" s="1" t="s">
        <v>55</v>
      </c>
      <c r="F881" s="1" t="s">
        <v>95</v>
      </c>
      <c r="G881" s="1" t="s">
        <v>20</v>
      </c>
      <c r="H881" s="1" t="s">
        <v>23</v>
      </c>
      <c r="I881" s="1">
        <v>190</v>
      </c>
      <c r="J881" s="1">
        <v>180</v>
      </c>
      <c r="K881" s="1">
        <v>0.15</v>
      </c>
      <c r="L881" s="1">
        <v>34200</v>
      </c>
      <c r="M881" s="1">
        <v>29070</v>
      </c>
      <c r="N881" s="1">
        <v>28119.05</v>
      </c>
      <c r="O881" s="1">
        <v>1.03</v>
      </c>
      <c r="P881" s="2" t="s">
        <v>73</v>
      </c>
      <c r="Q881" s="14" t="s">
        <v>32</v>
      </c>
    </row>
    <row r="882" spans="1:17" x14ac:dyDescent="0.45">
      <c r="A882" s="10">
        <v>46103</v>
      </c>
      <c r="B882" s="1" t="s">
        <v>953</v>
      </c>
      <c r="C882" s="1" t="s">
        <v>54</v>
      </c>
      <c r="D882" s="1" t="s">
        <v>28</v>
      </c>
      <c r="E882" s="1" t="s">
        <v>82</v>
      </c>
      <c r="F882" s="1" t="s">
        <v>56</v>
      </c>
      <c r="G882" s="1" t="s">
        <v>24</v>
      </c>
      <c r="H882" s="1" t="s">
        <v>35</v>
      </c>
      <c r="I882" s="1">
        <v>181</v>
      </c>
      <c r="J882" s="1">
        <v>30</v>
      </c>
      <c r="K882" s="1">
        <v>0.12</v>
      </c>
      <c r="L882" s="1">
        <v>5430</v>
      </c>
      <c r="M882" s="1">
        <v>4778.3999999999996</v>
      </c>
      <c r="N882" s="1">
        <v>4060.63</v>
      </c>
      <c r="O882" s="1">
        <v>1.18</v>
      </c>
      <c r="P882" s="2" t="s">
        <v>52</v>
      </c>
      <c r="Q882" s="13" t="s">
        <v>26</v>
      </c>
    </row>
    <row r="883" spans="1:17" x14ac:dyDescent="0.45">
      <c r="A883" s="10">
        <v>46143</v>
      </c>
      <c r="B883" s="1" t="s">
        <v>954</v>
      </c>
      <c r="C883" s="1" t="s">
        <v>49</v>
      </c>
      <c r="D883" s="1" t="s">
        <v>15</v>
      </c>
      <c r="E883" s="1" t="s">
        <v>55</v>
      </c>
      <c r="F883" s="1" t="s">
        <v>78</v>
      </c>
      <c r="G883" s="1" t="s">
        <v>14</v>
      </c>
      <c r="H883" s="1" t="s">
        <v>27</v>
      </c>
      <c r="I883" s="1">
        <v>113</v>
      </c>
      <c r="J883" s="1">
        <v>120</v>
      </c>
      <c r="K883" s="1">
        <v>0.1</v>
      </c>
      <c r="L883" s="1">
        <v>13560</v>
      </c>
      <c r="M883" s="1">
        <v>12204</v>
      </c>
      <c r="N883" s="1">
        <v>13999.88</v>
      </c>
      <c r="O883" s="1">
        <v>0.87</v>
      </c>
      <c r="P883" s="2" t="s">
        <v>73</v>
      </c>
      <c r="Q883" s="14" t="s">
        <v>32</v>
      </c>
    </row>
    <row r="884" spans="1:17" x14ac:dyDescent="0.45">
      <c r="A884" s="10">
        <v>46085</v>
      </c>
      <c r="B884" s="1" t="s">
        <v>955</v>
      </c>
      <c r="C884" s="1" t="s">
        <v>64</v>
      </c>
      <c r="D884" s="1" t="s">
        <v>21</v>
      </c>
      <c r="E884" s="1" t="s">
        <v>50</v>
      </c>
      <c r="F884" s="1" t="s">
        <v>60</v>
      </c>
      <c r="G884" s="1" t="s">
        <v>24</v>
      </c>
      <c r="H884" s="1" t="s">
        <v>35</v>
      </c>
      <c r="I884" s="1">
        <v>144</v>
      </c>
      <c r="J884" s="1">
        <v>30</v>
      </c>
      <c r="K884" s="1">
        <v>0.14000000000000001</v>
      </c>
      <c r="L884" s="1">
        <v>4320</v>
      </c>
      <c r="M884" s="1">
        <v>3715.2</v>
      </c>
      <c r="N884" s="1">
        <v>3266.09</v>
      </c>
      <c r="O884" s="1">
        <v>1.1399999999999999</v>
      </c>
      <c r="P884" s="2" t="s">
        <v>52</v>
      </c>
      <c r="Q884" s="13" t="s">
        <v>26</v>
      </c>
    </row>
    <row r="885" spans="1:17" x14ac:dyDescent="0.45">
      <c r="A885" s="10">
        <v>46058</v>
      </c>
      <c r="B885" s="1" t="s">
        <v>956</v>
      </c>
      <c r="C885" s="1" t="s">
        <v>75</v>
      </c>
      <c r="D885" s="1" t="s">
        <v>25</v>
      </c>
      <c r="E885" s="1" t="s">
        <v>68</v>
      </c>
      <c r="F885" s="1" t="s">
        <v>56</v>
      </c>
      <c r="G885" s="1" t="s">
        <v>24</v>
      </c>
      <c r="H885" s="1" t="s">
        <v>35</v>
      </c>
      <c r="I885" s="1">
        <v>145</v>
      </c>
      <c r="J885" s="1">
        <v>30</v>
      </c>
      <c r="K885" s="1">
        <v>0.09</v>
      </c>
      <c r="L885" s="1">
        <v>4350</v>
      </c>
      <c r="M885" s="1">
        <v>3958.5</v>
      </c>
      <c r="N885" s="1">
        <v>4345.55</v>
      </c>
      <c r="O885" s="1">
        <v>0.91</v>
      </c>
      <c r="P885" s="2" t="s">
        <v>52</v>
      </c>
      <c r="Q885" s="14" t="s">
        <v>22</v>
      </c>
    </row>
    <row r="886" spans="1:17" x14ac:dyDescent="0.45">
      <c r="A886" s="10">
        <v>46052</v>
      </c>
      <c r="B886" s="1" t="s">
        <v>957</v>
      </c>
      <c r="C886" s="1" t="s">
        <v>75</v>
      </c>
      <c r="D886" s="1" t="s">
        <v>15</v>
      </c>
      <c r="E886" s="1" t="s">
        <v>55</v>
      </c>
      <c r="F886" s="1" t="s">
        <v>60</v>
      </c>
      <c r="G886" s="1" t="s">
        <v>14</v>
      </c>
      <c r="H886" s="1" t="s">
        <v>27</v>
      </c>
      <c r="I886" s="1">
        <v>81</v>
      </c>
      <c r="J886" s="1">
        <v>120</v>
      </c>
      <c r="K886" s="1">
        <v>0.12</v>
      </c>
      <c r="L886" s="1">
        <v>9720</v>
      </c>
      <c r="M886" s="1">
        <v>8553.6</v>
      </c>
      <c r="N886" s="1">
        <v>7782.66</v>
      </c>
      <c r="O886" s="1">
        <v>1.1000000000000001</v>
      </c>
      <c r="P886" s="2" t="s">
        <v>52</v>
      </c>
      <c r="Q886" s="13" t="s">
        <v>16</v>
      </c>
    </row>
    <row r="887" spans="1:17" x14ac:dyDescent="0.45">
      <c r="A887" s="10">
        <v>46168</v>
      </c>
      <c r="B887" s="1" t="s">
        <v>958</v>
      </c>
      <c r="C887" s="1" t="s">
        <v>58</v>
      </c>
      <c r="D887" s="1" t="s">
        <v>28</v>
      </c>
      <c r="E887" s="1" t="s">
        <v>82</v>
      </c>
      <c r="F887" s="1" t="s">
        <v>56</v>
      </c>
      <c r="G887" s="1" t="s">
        <v>20</v>
      </c>
      <c r="H887" s="1" t="s">
        <v>23</v>
      </c>
      <c r="I887" s="1">
        <v>58</v>
      </c>
      <c r="J887" s="1">
        <v>180</v>
      </c>
      <c r="K887" s="1">
        <v>0.05</v>
      </c>
      <c r="L887" s="1">
        <v>10440</v>
      </c>
      <c r="M887" s="1">
        <v>9918</v>
      </c>
      <c r="N887" s="1">
        <v>9741.66</v>
      </c>
      <c r="O887" s="1">
        <v>1.02</v>
      </c>
      <c r="P887" s="2" t="s">
        <v>52</v>
      </c>
      <c r="Q887" s="14" t="s">
        <v>32</v>
      </c>
    </row>
    <row r="888" spans="1:17" x14ac:dyDescent="0.45">
      <c r="A888" s="10">
        <v>46157</v>
      </c>
      <c r="B888" s="1" t="s">
        <v>959</v>
      </c>
      <c r="C888" s="1" t="s">
        <v>64</v>
      </c>
      <c r="D888" s="1" t="s">
        <v>25</v>
      </c>
      <c r="E888" s="1" t="s">
        <v>98</v>
      </c>
      <c r="F888" s="1" t="s">
        <v>56</v>
      </c>
      <c r="G888" s="1" t="s">
        <v>24</v>
      </c>
      <c r="H888" s="1" t="s">
        <v>30</v>
      </c>
      <c r="I888" s="1">
        <v>197</v>
      </c>
      <c r="J888" s="1">
        <v>40</v>
      </c>
      <c r="K888" s="1">
        <v>0.12</v>
      </c>
      <c r="L888" s="1">
        <v>7880</v>
      </c>
      <c r="M888" s="1">
        <v>6934.4</v>
      </c>
      <c r="N888" s="1">
        <v>8269.34</v>
      </c>
      <c r="O888" s="1">
        <v>0.84</v>
      </c>
      <c r="P888" s="2" t="s">
        <v>52</v>
      </c>
      <c r="Q888" s="13" t="s">
        <v>32</v>
      </c>
    </row>
    <row r="889" spans="1:17" x14ac:dyDescent="0.45">
      <c r="A889" s="10">
        <v>46191</v>
      </c>
      <c r="B889" s="1" t="s">
        <v>960</v>
      </c>
      <c r="C889" s="1" t="s">
        <v>54</v>
      </c>
      <c r="D889" s="1" t="s">
        <v>15</v>
      </c>
      <c r="E889" s="1" t="s">
        <v>62</v>
      </c>
      <c r="F889" s="1" t="s">
        <v>78</v>
      </c>
      <c r="G889" s="1" t="s">
        <v>14</v>
      </c>
      <c r="H889" s="1" t="s">
        <v>18</v>
      </c>
      <c r="I889" s="1">
        <v>132</v>
      </c>
      <c r="J889" s="1">
        <v>250</v>
      </c>
      <c r="K889" s="1">
        <v>0.11</v>
      </c>
      <c r="L889" s="1">
        <v>33000</v>
      </c>
      <c r="M889" s="1">
        <v>29370</v>
      </c>
      <c r="N889" s="1">
        <v>33417.14</v>
      </c>
      <c r="O889" s="1">
        <v>0.88</v>
      </c>
      <c r="P889" s="2" t="s">
        <v>73</v>
      </c>
      <c r="Q889" s="14" t="s">
        <v>34</v>
      </c>
    </row>
    <row r="890" spans="1:17" x14ac:dyDescent="0.45">
      <c r="A890" s="10">
        <v>46038</v>
      </c>
      <c r="B890" s="1" t="s">
        <v>961</v>
      </c>
      <c r="C890" s="1" t="s">
        <v>58</v>
      </c>
      <c r="D890" s="1" t="s">
        <v>28</v>
      </c>
      <c r="E890" s="1" t="s">
        <v>82</v>
      </c>
      <c r="F890" s="1" t="s">
        <v>71</v>
      </c>
      <c r="G890" s="1" t="s">
        <v>14</v>
      </c>
      <c r="H890" s="1" t="s">
        <v>18</v>
      </c>
      <c r="I890" s="1">
        <v>17</v>
      </c>
      <c r="J890" s="1">
        <v>250</v>
      </c>
      <c r="K890" s="1">
        <v>0.09</v>
      </c>
      <c r="L890" s="1">
        <v>4250</v>
      </c>
      <c r="M890" s="1">
        <v>3867.5</v>
      </c>
      <c r="N890" s="1">
        <v>3806.36</v>
      </c>
      <c r="O890" s="1">
        <v>1.02</v>
      </c>
      <c r="P890" s="2" t="s">
        <v>73</v>
      </c>
      <c r="Q890" s="13" t="s">
        <v>16</v>
      </c>
    </row>
    <row r="891" spans="1:17" x14ac:dyDescent="0.45">
      <c r="A891" s="10">
        <v>46033</v>
      </c>
      <c r="B891" s="1" t="s">
        <v>962</v>
      </c>
      <c r="C891" s="1" t="s">
        <v>49</v>
      </c>
      <c r="D891" s="1" t="s">
        <v>25</v>
      </c>
      <c r="E891" s="1" t="s">
        <v>98</v>
      </c>
      <c r="F891" s="1" t="s">
        <v>51</v>
      </c>
      <c r="G891" s="1" t="s">
        <v>24</v>
      </c>
      <c r="H891" s="1" t="s">
        <v>30</v>
      </c>
      <c r="I891" s="1">
        <v>75</v>
      </c>
      <c r="J891" s="1">
        <v>40</v>
      </c>
      <c r="K891" s="1">
        <v>0.09</v>
      </c>
      <c r="L891" s="1">
        <v>3000</v>
      </c>
      <c r="M891" s="1">
        <v>2730</v>
      </c>
      <c r="N891" s="1">
        <v>2276.16</v>
      </c>
      <c r="O891" s="1">
        <v>1.2</v>
      </c>
      <c r="P891" s="2" t="s">
        <v>73</v>
      </c>
      <c r="Q891" s="14" t="s">
        <v>16</v>
      </c>
    </row>
    <row r="892" spans="1:17" x14ac:dyDescent="0.45">
      <c r="A892" s="10">
        <v>46065</v>
      </c>
      <c r="B892" s="1" t="s">
        <v>963</v>
      </c>
      <c r="C892" s="1" t="s">
        <v>64</v>
      </c>
      <c r="D892" s="1" t="s">
        <v>28</v>
      </c>
      <c r="E892" s="1" t="s">
        <v>82</v>
      </c>
      <c r="F892" s="1" t="s">
        <v>60</v>
      </c>
      <c r="G892" s="1" t="s">
        <v>24</v>
      </c>
      <c r="H892" s="1" t="s">
        <v>30</v>
      </c>
      <c r="I892" s="1">
        <v>190</v>
      </c>
      <c r="J892" s="1">
        <v>40</v>
      </c>
      <c r="K892" s="1">
        <v>7.0000000000000007E-2</v>
      </c>
      <c r="L892" s="1">
        <v>7600</v>
      </c>
      <c r="M892" s="1">
        <v>7068</v>
      </c>
      <c r="N892" s="1">
        <v>6563.13</v>
      </c>
      <c r="O892" s="1">
        <v>1.08</v>
      </c>
      <c r="P892" s="2" t="s">
        <v>73</v>
      </c>
      <c r="Q892" s="13" t="s">
        <v>22</v>
      </c>
    </row>
    <row r="893" spans="1:17" x14ac:dyDescent="0.45">
      <c r="A893" s="10">
        <v>46197</v>
      </c>
      <c r="B893" s="1" t="s">
        <v>964</v>
      </c>
      <c r="C893" s="1" t="s">
        <v>58</v>
      </c>
      <c r="D893" s="1" t="s">
        <v>25</v>
      </c>
      <c r="E893" s="1" t="s">
        <v>68</v>
      </c>
      <c r="F893" s="1" t="s">
        <v>51</v>
      </c>
      <c r="G893" s="1" t="s">
        <v>20</v>
      </c>
      <c r="H893" s="1" t="s">
        <v>23</v>
      </c>
      <c r="I893" s="1">
        <v>133</v>
      </c>
      <c r="J893" s="1">
        <v>180</v>
      </c>
      <c r="K893" s="1">
        <v>0.02</v>
      </c>
      <c r="L893" s="1">
        <v>23940</v>
      </c>
      <c r="M893" s="1">
        <v>23461.200000000001</v>
      </c>
      <c r="N893" s="1">
        <v>24301.62</v>
      </c>
      <c r="O893" s="1">
        <v>0.97</v>
      </c>
      <c r="P893" s="2" t="s">
        <v>73</v>
      </c>
      <c r="Q893" s="14" t="s">
        <v>34</v>
      </c>
    </row>
    <row r="894" spans="1:17" x14ac:dyDescent="0.45">
      <c r="A894" s="10">
        <v>46165</v>
      </c>
      <c r="B894" s="1" t="s">
        <v>965</v>
      </c>
      <c r="C894" s="1" t="s">
        <v>75</v>
      </c>
      <c r="D894" s="1" t="s">
        <v>15</v>
      </c>
      <c r="E894" s="1" t="s">
        <v>62</v>
      </c>
      <c r="F894" s="1" t="s">
        <v>78</v>
      </c>
      <c r="G894" s="1" t="s">
        <v>14</v>
      </c>
      <c r="H894" s="1" t="s">
        <v>27</v>
      </c>
      <c r="I894" s="1">
        <v>170</v>
      </c>
      <c r="J894" s="1">
        <v>120</v>
      </c>
      <c r="K894" s="1">
        <v>0.04</v>
      </c>
      <c r="L894" s="1">
        <v>20400</v>
      </c>
      <c r="M894" s="1">
        <v>19584</v>
      </c>
      <c r="N894" s="1">
        <v>17997.03</v>
      </c>
      <c r="O894" s="1">
        <v>1.0900000000000001</v>
      </c>
      <c r="P894" s="2" t="s">
        <v>52</v>
      </c>
      <c r="Q894" s="13" t="s">
        <v>32</v>
      </c>
    </row>
    <row r="895" spans="1:17" x14ac:dyDescent="0.45">
      <c r="A895" s="10">
        <v>46049</v>
      </c>
      <c r="B895" s="1" t="s">
        <v>966</v>
      </c>
      <c r="C895" s="1" t="s">
        <v>67</v>
      </c>
      <c r="D895" s="1" t="s">
        <v>28</v>
      </c>
      <c r="E895" s="1" t="s">
        <v>82</v>
      </c>
      <c r="F895" s="1" t="s">
        <v>56</v>
      </c>
      <c r="G895" s="1" t="s">
        <v>14</v>
      </c>
      <c r="H895" s="1" t="s">
        <v>27</v>
      </c>
      <c r="I895" s="1">
        <v>17</v>
      </c>
      <c r="J895" s="1">
        <v>120</v>
      </c>
      <c r="K895" s="1">
        <v>0.06</v>
      </c>
      <c r="L895" s="1">
        <v>2040</v>
      </c>
      <c r="M895" s="1">
        <v>1917.6</v>
      </c>
      <c r="N895" s="1">
        <v>1588.45</v>
      </c>
      <c r="O895" s="1">
        <v>1.21</v>
      </c>
      <c r="P895" s="2" t="s">
        <v>52</v>
      </c>
      <c r="Q895" s="14" t="s">
        <v>16</v>
      </c>
    </row>
    <row r="896" spans="1:17" x14ac:dyDescent="0.45">
      <c r="A896" s="10">
        <v>46041</v>
      </c>
      <c r="B896" s="1" t="s">
        <v>967</v>
      </c>
      <c r="C896" s="1" t="s">
        <v>58</v>
      </c>
      <c r="D896" s="1" t="s">
        <v>15</v>
      </c>
      <c r="E896" s="1" t="s">
        <v>55</v>
      </c>
      <c r="F896" s="1" t="s">
        <v>71</v>
      </c>
      <c r="G896" s="1" t="s">
        <v>20</v>
      </c>
      <c r="H896" s="1" t="s">
        <v>23</v>
      </c>
      <c r="I896" s="1">
        <v>22</v>
      </c>
      <c r="J896" s="1">
        <v>180</v>
      </c>
      <c r="K896" s="1">
        <v>0.01</v>
      </c>
      <c r="L896" s="1">
        <v>3960</v>
      </c>
      <c r="M896" s="1">
        <v>3920.4</v>
      </c>
      <c r="N896" s="1">
        <v>3342.35</v>
      </c>
      <c r="O896" s="1">
        <v>1.17</v>
      </c>
      <c r="P896" s="2" t="s">
        <v>52</v>
      </c>
      <c r="Q896" s="13" t="s">
        <v>16</v>
      </c>
    </row>
    <row r="897" spans="1:17" x14ac:dyDescent="0.45">
      <c r="A897" s="10">
        <v>46079</v>
      </c>
      <c r="B897" s="1" t="s">
        <v>968</v>
      </c>
      <c r="C897" s="1" t="s">
        <v>64</v>
      </c>
      <c r="D897" s="1" t="s">
        <v>25</v>
      </c>
      <c r="E897" s="1" t="s">
        <v>68</v>
      </c>
      <c r="F897" s="1" t="s">
        <v>56</v>
      </c>
      <c r="G897" s="1" t="s">
        <v>20</v>
      </c>
      <c r="H897" s="1" t="s">
        <v>23</v>
      </c>
      <c r="I897" s="1">
        <v>99</v>
      </c>
      <c r="J897" s="1">
        <v>180</v>
      </c>
      <c r="K897" s="1">
        <v>0</v>
      </c>
      <c r="L897" s="1">
        <v>17820</v>
      </c>
      <c r="M897" s="1">
        <v>17820</v>
      </c>
      <c r="N897" s="1">
        <v>15553.31</v>
      </c>
      <c r="O897" s="1">
        <v>1.1499999999999999</v>
      </c>
      <c r="P897" s="2" t="s">
        <v>73</v>
      </c>
      <c r="Q897" s="14" t="s">
        <v>22</v>
      </c>
    </row>
    <row r="898" spans="1:17" x14ac:dyDescent="0.45">
      <c r="A898" s="10">
        <v>46118</v>
      </c>
      <c r="B898" s="1" t="s">
        <v>969</v>
      </c>
      <c r="C898" s="1" t="s">
        <v>49</v>
      </c>
      <c r="D898" s="1" t="s">
        <v>21</v>
      </c>
      <c r="E898" s="1" t="s">
        <v>80</v>
      </c>
      <c r="F898" s="1" t="s">
        <v>95</v>
      </c>
      <c r="G898" s="1" t="s">
        <v>24</v>
      </c>
      <c r="H898" s="1" t="s">
        <v>30</v>
      </c>
      <c r="I898" s="1">
        <v>200</v>
      </c>
      <c r="J898" s="1">
        <v>40</v>
      </c>
      <c r="K898" s="1">
        <v>0.01</v>
      </c>
      <c r="L898" s="1">
        <v>8000</v>
      </c>
      <c r="M898" s="1">
        <v>7920</v>
      </c>
      <c r="N898" s="1">
        <v>7097.01</v>
      </c>
      <c r="O898" s="1">
        <v>1.1200000000000001</v>
      </c>
      <c r="P898" s="2" t="s">
        <v>73</v>
      </c>
      <c r="Q898" s="13" t="s">
        <v>29</v>
      </c>
    </row>
    <row r="899" spans="1:17" x14ac:dyDescent="0.45">
      <c r="A899" s="10">
        <v>46180</v>
      </c>
      <c r="B899" s="1" t="s">
        <v>970</v>
      </c>
      <c r="C899" s="1" t="s">
        <v>75</v>
      </c>
      <c r="D899" s="1" t="s">
        <v>21</v>
      </c>
      <c r="E899" s="1" t="s">
        <v>80</v>
      </c>
      <c r="F899" s="1" t="s">
        <v>71</v>
      </c>
      <c r="G899" s="1" t="s">
        <v>14</v>
      </c>
      <c r="H899" s="1" t="s">
        <v>18</v>
      </c>
      <c r="I899" s="1">
        <v>85</v>
      </c>
      <c r="J899" s="1">
        <v>250</v>
      </c>
      <c r="K899" s="1">
        <v>0.01</v>
      </c>
      <c r="L899" s="1">
        <v>21250</v>
      </c>
      <c r="M899" s="1">
        <v>21037.5</v>
      </c>
      <c r="N899" s="1">
        <v>17023.87</v>
      </c>
      <c r="O899" s="1">
        <v>1.24</v>
      </c>
      <c r="P899" s="2" t="s">
        <v>52</v>
      </c>
      <c r="Q899" s="14" t="s">
        <v>34</v>
      </c>
    </row>
    <row r="900" spans="1:17" x14ac:dyDescent="0.45">
      <c r="A900" s="10">
        <v>46199</v>
      </c>
      <c r="B900" s="1" t="s">
        <v>971</v>
      </c>
      <c r="C900" s="1" t="s">
        <v>67</v>
      </c>
      <c r="D900" s="1" t="s">
        <v>21</v>
      </c>
      <c r="E900" s="1" t="s">
        <v>50</v>
      </c>
      <c r="F900" s="1" t="s">
        <v>56</v>
      </c>
      <c r="G900" s="1" t="s">
        <v>24</v>
      </c>
      <c r="H900" s="1" t="s">
        <v>30</v>
      </c>
      <c r="I900" s="1">
        <v>104</v>
      </c>
      <c r="J900" s="1">
        <v>40</v>
      </c>
      <c r="K900" s="1">
        <v>0.08</v>
      </c>
      <c r="L900" s="1">
        <v>4160</v>
      </c>
      <c r="M900" s="1">
        <v>3827.2</v>
      </c>
      <c r="N900" s="1">
        <v>3227.23</v>
      </c>
      <c r="O900" s="1">
        <v>1.19</v>
      </c>
      <c r="P900" s="2" t="s">
        <v>73</v>
      </c>
      <c r="Q900" s="13" t="s">
        <v>34</v>
      </c>
    </row>
    <row r="901" spans="1:17" x14ac:dyDescent="0.45">
      <c r="A901" s="10">
        <v>46075</v>
      </c>
      <c r="B901" s="1" t="s">
        <v>972</v>
      </c>
      <c r="C901" s="1" t="s">
        <v>67</v>
      </c>
      <c r="D901" s="1" t="s">
        <v>25</v>
      </c>
      <c r="E901" s="1" t="s">
        <v>98</v>
      </c>
      <c r="F901" s="1" t="s">
        <v>56</v>
      </c>
      <c r="G901" s="1" t="s">
        <v>24</v>
      </c>
      <c r="H901" s="1" t="s">
        <v>35</v>
      </c>
      <c r="I901" s="1">
        <v>163</v>
      </c>
      <c r="J901" s="1">
        <v>30</v>
      </c>
      <c r="K901" s="1">
        <v>0.12</v>
      </c>
      <c r="L901" s="1">
        <v>4890</v>
      </c>
      <c r="M901" s="1">
        <v>4303.2</v>
      </c>
      <c r="N901" s="1">
        <v>4778.13</v>
      </c>
      <c r="O901" s="1">
        <v>0.9</v>
      </c>
      <c r="P901" s="2" t="s">
        <v>52</v>
      </c>
      <c r="Q901" s="14" t="s">
        <v>22</v>
      </c>
    </row>
    <row r="902" spans="1:17" x14ac:dyDescent="0.45">
      <c r="A902" s="10">
        <v>46043</v>
      </c>
      <c r="B902" s="1" t="s">
        <v>973</v>
      </c>
      <c r="C902" s="1" t="s">
        <v>54</v>
      </c>
      <c r="D902" s="1" t="s">
        <v>15</v>
      </c>
      <c r="E902" s="1" t="s">
        <v>62</v>
      </c>
      <c r="F902" s="1" t="s">
        <v>95</v>
      </c>
      <c r="G902" s="1" t="s">
        <v>24</v>
      </c>
      <c r="H902" s="1" t="s">
        <v>35</v>
      </c>
      <c r="I902" s="1">
        <v>81</v>
      </c>
      <c r="J902" s="1">
        <v>30</v>
      </c>
      <c r="K902" s="1">
        <v>0.12</v>
      </c>
      <c r="L902" s="1">
        <v>2430</v>
      </c>
      <c r="M902" s="1">
        <v>2138.4</v>
      </c>
      <c r="N902" s="1">
        <v>1932.41</v>
      </c>
      <c r="O902" s="1">
        <v>1.1100000000000001</v>
      </c>
      <c r="P902" s="2" t="s">
        <v>52</v>
      </c>
      <c r="Q902" s="13" t="s">
        <v>16</v>
      </c>
    </row>
    <row r="903" spans="1:17" x14ac:dyDescent="0.45">
      <c r="A903" s="10">
        <v>46183</v>
      </c>
      <c r="B903" s="1" t="s">
        <v>974</v>
      </c>
      <c r="C903" s="1" t="s">
        <v>75</v>
      </c>
      <c r="D903" s="1" t="s">
        <v>15</v>
      </c>
      <c r="E903" s="1" t="s">
        <v>62</v>
      </c>
      <c r="F903" s="1" t="s">
        <v>56</v>
      </c>
      <c r="G903" s="1" t="s">
        <v>24</v>
      </c>
      <c r="H903" s="1" t="s">
        <v>35</v>
      </c>
      <c r="I903" s="1">
        <v>110</v>
      </c>
      <c r="J903" s="1">
        <v>30</v>
      </c>
      <c r="K903" s="1">
        <v>0.06</v>
      </c>
      <c r="L903" s="1">
        <v>3300</v>
      </c>
      <c r="M903" s="1">
        <v>3102</v>
      </c>
      <c r="N903" s="1">
        <v>2597.7399999999998</v>
      </c>
      <c r="O903" s="1">
        <v>1.19</v>
      </c>
      <c r="P903" s="2" t="s">
        <v>73</v>
      </c>
      <c r="Q903" s="14" t="s">
        <v>34</v>
      </c>
    </row>
    <row r="904" spans="1:17" x14ac:dyDescent="0.45">
      <c r="A904" s="10">
        <v>46076</v>
      </c>
      <c r="B904" s="1" t="s">
        <v>975</v>
      </c>
      <c r="C904" s="1" t="s">
        <v>49</v>
      </c>
      <c r="D904" s="1" t="s">
        <v>25</v>
      </c>
      <c r="E904" s="1" t="s">
        <v>98</v>
      </c>
      <c r="F904" s="1" t="s">
        <v>78</v>
      </c>
      <c r="G904" s="1" t="s">
        <v>20</v>
      </c>
      <c r="H904" s="1" t="s">
        <v>33</v>
      </c>
      <c r="I904" s="1">
        <v>133</v>
      </c>
      <c r="J904" s="1">
        <v>35</v>
      </c>
      <c r="K904" s="1">
        <v>0.09</v>
      </c>
      <c r="L904" s="1">
        <v>4655</v>
      </c>
      <c r="M904" s="1">
        <v>4236.05</v>
      </c>
      <c r="N904" s="1">
        <v>3728.91</v>
      </c>
      <c r="O904" s="1">
        <v>1.1399999999999999</v>
      </c>
      <c r="P904" s="2" t="s">
        <v>52</v>
      </c>
      <c r="Q904" s="13" t="s">
        <v>22</v>
      </c>
    </row>
    <row r="905" spans="1:17" x14ac:dyDescent="0.45">
      <c r="A905" s="10">
        <v>46187</v>
      </c>
      <c r="B905" s="1" t="s">
        <v>976</v>
      </c>
      <c r="C905" s="1" t="s">
        <v>75</v>
      </c>
      <c r="D905" s="1" t="s">
        <v>21</v>
      </c>
      <c r="E905" s="1" t="s">
        <v>50</v>
      </c>
      <c r="F905" s="1" t="s">
        <v>51</v>
      </c>
      <c r="G905" s="1" t="s">
        <v>14</v>
      </c>
      <c r="H905" s="1" t="s">
        <v>27</v>
      </c>
      <c r="I905" s="1">
        <v>192</v>
      </c>
      <c r="J905" s="1">
        <v>120</v>
      </c>
      <c r="K905" s="1">
        <v>0.04</v>
      </c>
      <c r="L905" s="1">
        <v>23040</v>
      </c>
      <c r="M905" s="1">
        <v>22118.400000000001</v>
      </c>
      <c r="N905" s="1">
        <v>17700.560000000001</v>
      </c>
      <c r="O905" s="1">
        <v>1.25</v>
      </c>
      <c r="P905" s="2" t="s">
        <v>73</v>
      </c>
      <c r="Q905" s="14" t="s">
        <v>34</v>
      </c>
    </row>
    <row r="906" spans="1:17" x14ac:dyDescent="0.45">
      <c r="A906" s="10">
        <v>46092</v>
      </c>
      <c r="B906" s="1" t="s">
        <v>977</v>
      </c>
      <c r="C906" s="1" t="s">
        <v>49</v>
      </c>
      <c r="D906" s="1" t="s">
        <v>21</v>
      </c>
      <c r="E906" s="1" t="s">
        <v>50</v>
      </c>
      <c r="F906" s="1" t="s">
        <v>78</v>
      </c>
      <c r="G906" s="1" t="s">
        <v>24</v>
      </c>
      <c r="H906" s="1" t="s">
        <v>35</v>
      </c>
      <c r="I906" s="1">
        <v>92</v>
      </c>
      <c r="J906" s="1">
        <v>30</v>
      </c>
      <c r="K906" s="1">
        <v>0.1</v>
      </c>
      <c r="L906" s="1">
        <v>2760</v>
      </c>
      <c r="M906" s="1">
        <v>2484</v>
      </c>
      <c r="N906" s="1">
        <v>2852.09</v>
      </c>
      <c r="O906" s="1">
        <v>0.87</v>
      </c>
      <c r="P906" s="2" t="s">
        <v>73</v>
      </c>
      <c r="Q906" s="13" t="s">
        <v>26</v>
      </c>
    </row>
    <row r="907" spans="1:17" x14ac:dyDescent="0.45">
      <c r="A907" s="10">
        <v>46149</v>
      </c>
      <c r="B907" s="1" t="s">
        <v>978</v>
      </c>
      <c r="C907" s="1" t="s">
        <v>67</v>
      </c>
      <c r="D907" s="1" t="s">
        <v>21</v>
      </c>
      <c r="E907" s="1" t="s">
        <v>80</v>
      </c>
      <c r="F907" s="1" t="s">
        <v>51</v>
      </c>
      <c r="G907" s="1" t="s">
        <v>24</v>
      </c>
      <c r="H907" s="1" t="s">
        <v>35</v>
      </c>
      <c r="I907" s="1">
        <v>36</v>
      </c>
      <c r="J907" s="1">
        <v>30</v>
      </c>
      <c r="K907" s="1">
        <v>0.02</v>
      </c>
      <c r="L907" s="1">
        <v>1080</v>
      </c>
      <c r="M907" s="1">
        <v>1058.4000000000001</v>
      </c>
      <c r="N907" s="1">
        <v>1065.5</v>
      </c>
      <c r="O907" s="1">
        <v>0.99</v>
      </c>
      <c r="P907" s="2" t="s">
        <v>52</v>
      </c>
      <c r="Q907" s="14" t="s">
        <v>32</v>
      </c>
    </row>
    <row r="908" spans="1:17" x14ac:dyDescent="0.45">
      <c r="A908" s="10">
        <v>46054</v>
      </c>
      <c r="B908" s="1" t="s">
        <v>979</v>
      </c>
      <c r="C908" s="1" t="s">
        <v>58</v>
      </c>
      <c r="D908" s="1" t="s">
        <v>28</v>
      </c>
      <c r="E908" s="1" t="s">
        <v>82</v>
      </c>
      <c r="F908" s="1" t="s">
        <v>95</v>
      </c>
      <c r="G908" s="1" t="s">
        <v>20</v>
      </c>
      <c r="H908" s="1" t="s">
        <v>23</v>
      </c>
      <c r="I908" s="1">
        <v>63</v>
      </c>
      <c r="J908" s="1">
        <v>180</v>
      </c>
      <c r="K908" s="1">
        <v>0.04</v>
      </c>
      <c r="L908" s="1">
        <v>11340</v>
      </c>
      <c r="M908" s="1">
        <v>10886.4</v>
      </c>
      <c r="N908" s="1">
        <v>11702.2</v>
      </c>
      <c r="O908" s="1">
        <v>0.93</v>
      </c>
      <c r="P908" s="2" t="s">
        <v>73</v>
      </c>
      <c r="Q908" s="13" t="s">
        <v>22</v>
      </c>
    </row>
    <row r="909" spans="1:17" x14ac:dyDescent="0.45">
      <c r="A909" s="10">
        <v>46035</v>
      </c>
      <c r="B909" s="1" t="s">
        <v>980</v>
      </c>
      <c r="C909" s="1" t="s">
        <v>49</v>
      </c>
      <c r="D909" s="1" t="s">
        <v>28</v>
      </c>
      <c r="E909" s="1" t="s">
        <v>59</v>
      </c>
      <c r="F909" s="1" t="s">
        <v>56</v>
      </c>
      <c r="G909" s="1" t="s">
        <v>14</v>
      </c>
      <c r="H909" s="1" t="s">
        <v>18</v>
      </c>
      <c r="I909" s="1">
        <v>103</v>
      </c>
      <c r="J909" s="1">
        <v>250</v>
      </c>
      <c r="K909" s="1">
        <v>0.03</v>
      </c>
      <c r="L909" s="1">
        <v>25750</v>
      </c>
      <c r="M909" s="1">
        <v>24977.5</v>
      </c>
      <c r="N909" s="1">
        <v>26420.05</v>
      </c>
      <c r="O909" s="1">
        <v>0.95</v>
      </c>
      <c r="P909" s="2" t="s">
        <v>73</v>
      </c>
      <c r="Q909" s="14" t="s">
        <v>16</v>
      </c>
    </row>
    <row r="910" spans="1:17" x14ac:dyDescent="0.45">
      <c r="A910" s="10">
        <v>46087</v>
      </c>
      <c r="B910" s="1" t="s">
        <v>981</v>
      </c>
      <c r="C910" s="1" t="s">
        <v>64</v>
      </c>
      <c r="D910" s="1" t="s">
        <v>15</v>
      </c>
      <c r="E910" s="1" t="s">
        <v>62</v>
      </c>
      <c r="F910" s="1" t="s">
        <v>60</v>
      </c>
      <c r="G910" s="1" t="s">
        <v>14</v>
      </c>
      <c r="H910" s="1" t="s">
        <v>18</v>
      </c>
      <c r="I910" s="1">
        <v>17</v>
      </c>
      <c r="J910" s="1">
        <v>250</v>
      </c>
      <c r="K910" s="1">
        <v>0.11</v>
      </c>
      <c r="L910" s="1">
        <v>4250</v>
      </c>
      <c r="M910" s="1">
        <v>3782.5</v>
      </c>
      <c r="N910" s="1">
        <v>4086.45</v>
      </c>
      <c r="O910" s="1">
        <v>0.93</v>
      </c>
      <c r="P910" s="2" t="s">
        <v>73</v>
      </c>
      <c r="Q910" s="13" t="s">
        <v>26</v>
      </c>
    </row>
    <row r="911" spans="1:17" x14ac:dyDescent="0.45">
      <c r="A911" s="10">
        <v>46176</v>
      </c>
      <c r="B911" s="1" t="s">
        <v>982</v>
      </c>
      <c r="C911" s="1" t="s">
        <v>54</v>
      </c>
      <c r="D911" s="1" t="s">
        <v>21</v>
      </c>
      <c r="E911" s="1" t="s">
        <v>80</v>
      </c>
      <c r="F911" s="1" t="s">
        <v>51</v>
      </c>
      <c r="G911" s="1" t="s">
        <v>20</v>
      </c>
      <c r="H911" s="1" t="s">
        <v>33</v>
      </c>
      <c r="I911" s="1">
        <v>146</v>
      </c>
      <c r="J911" s="1">
        <v>35</v>
      </c>
      <c r="K911" s="1">
        <v>0.06</v>
      </c>
      <c r="L911" s="1">
        <v>5110</v>
      </c>
      <c r="M911" s="1">
        <v>4803.3999999999996</v>
      </c>
      <c r="N911" s="1">
        <v>5446.05</v>
      </c>
      <c r="O911" s="1">
        <v>0.88</v>
      </c>
      <c r="P911" s="2" t="s">
        <v>73</v>
      </c>
      <c r="Q911" s="14" t="s">
        <v>34</v>
      </c>
    </row>
    <row r="912" spans="1:17" x14ac:dyDescent="0.45">
      <c r="A912" s="10">
        <v>46034</v>
      </c>
      <c r="B912" s="1" t="s">
        <v>983</v>
      </c>
      <c r="C912" s="1" t="s">
        <v>75</v>
      </c>
      <c r="D912" s="1" t="s">
        <v>28</v>
      </c>
      <c r="E912" s="1" t="s">
        <v>65</v>
      </c>
      <c r="F912" s="1" t="s">
        <v>60</v>
      </c>
      <c r="G912" s="1" t="s">
        <v>24</v>
      </c>
      <c r="H912" s="1" t="s">
        <v>30</v>
      </c>
      <c r="I912" s="1">
        <v>166</v>
      </c>
      <c r="J912" s="1">
        <v>40</v>
      </c>
      <c r="K912" s="1">
        <v>0.08</v>
      </c>
      <c r="L912" s="1">
        <v>6640</v>
      </c>
      <c r="M912" s="1">
        <v>6108.8</v>
      </c>
      <c r="N912" s="1">
        <v>5152.4799999999996</v>
      </c>
      <c r="O912" s="1">
        <v>1.19</v>
      </c>
      <c r="P912" s="2" t="s">
        <v>73</v>
      </c>
      <c r="Q912" s="13" t="s">
        <v>16</v>
      </c>
    </row>
    <row r="913" spans="1:17" x14ac:dyDescent="0.45">
      <c r="A913" s="10">
        <v>46070</v>
      </c>
      <c r="B913" s="1" t="s">
        <v>984</v>
      </c>
      <c r="C913" s="1" t="s">
        <v>75</v>
      </c>
      <c r="D913" s="1" t="s">
        <v>15</v>
      </c>
      <c r="E913" s="1" t="s">
        <v>55</v>
      </c>
      <c r="F913" s="1" t="s">
        <v>51</v>
      </c>
      <c r="G913" s="1" t="s">
        <v>24</v>
      </c>
      <c r="H913" s="1" t="s">
        <v>35</v>
      </c>
      <c r="I913" s="1">
        <v>63</v>
      </c>
      <c r="J913" s="1">
        <v>30</v>
      </c>
      <c r="K913" s="1">
        <v>0.01</v>
      </c>
      <c r="L913" s="1">
        <v>1890</v>
      </c>
      <c r="M913" s="1">
        <v>1871.1</v>
      </c>
      <c r="N913" s="1">
        <v>1885.62</v>
      </c>
      <c r="O913" s="1">
        <v>0.99</v>
      </c>
      <c r="P913" s="2" t="s">
        <v>73</v>
      </c>
      <c r="Q913" s="14" t="s">
        <v>22</v>
      </c>
    </row>
    <row r="914" spans="1:17" x14ac:dyDescent="0.45">
      <c r="A914" s="10">
        <v>46108</v>
      </c>
      <c r="B914" s="1" t="s">
        <v>985</v>
      </c>
      <c r="C914" s="1" t="s">
        <v>67</v>
      </c>
      <c r="D914" s="1" t="s">
        <v>15</v>
      </c>
      <c r="E914" s="1" t="s">
        <v>62</v>
      </c>
      <c r="F914" s="1" t="s">
        <v>51</v>
      </c>
      <c r="G914" s="1" t="s">
        <v>20</v>
      </c>
      <c r="H914" s="1" t="s">
        <v>33</v>
      </c>
      <c r="I914" s="1">
        <v>5</v>
      </c>
      <c r="J914" s="1">
        <v>35</v>
      </c>
      <c r="K914" s="1">
        <v>0.09</v>
      </c>
      <c r="L914" s="1">
        <v>175</v>
      </c>
      <c r="M914" s="1">
        <v>159.25</v>
      </c>
      <c r="N914" s="1">
        <v>127.58</v>
      </c>
      <c r="O914" s="1">
        <v>1.25</v>
      </c>
      <c r="P914" s="2" t="s">
        <v>73</v>
      </c>
      <c r="Q914" s="13" t="s">
        <v>26</v>
      </c>
    </row>
    <row r="915" spans="1:17" x14ac:dyDescent="0.45">
      <c r="A915" s="10">
        <v>46045</v>
      </c>
      <c r="B915" s="1" t="s">
        <v>986</v>
      </c>
      <c r="C915" s="1" t="s">
        <v>64</v>
      </c>
      <c r="D915" s="1" t="s">
        <v>15</v>
      </c>
      <c r="E915" s="1" t="s">
        <v>55</v>
      </c>
      <c r="F915" s="1" t="s">
        <v>51</v>
      </c>
      <c r="G915" s="1" t="s">
        <v>20</v>
      </c>
      <c r="H915" s="1" t="s">
        <v>23</v>
      </c>
      <c r="I915" s="1">
        <v>132</v>
      </c>
      <c r="J915" s="1">
        <v>180</v>
      </c>
      <c r="K915" s="1">
        <v>7.0000000000000007E-2</v>
      </c>
      <c r="L915" s="1">
        <v>23760</v>
      </c>
      <c r="M915" s="1">
        <v>22096.799999999999</v>
      </c>
      <c r="N915" s="1">
        <v>24521.29</v>
      </c>
      <c r="O915" s="1">
        <v>0.9</v>
      </c>
      <c r="P915" s="2" t="s">
        <v>73</v>
      </c>
      <c r="Q915" s="14" t="s">
        <v>16</v>
      </c>
    </row>
    <row r="916" spans="1:17" x14ac:dyDescent="0.45">
      <c r="A916" s="10">
        <v>46065</v>
      </c>
      <c r="B916" s="1" t="s">
        <v>987</v>
      </c>
      <c r="C916" s="1" t="s">
        <v>64</v>
      </c>
      <c r="D916" s="1" t="s">
        <v>25</v>
      </c>
      <c r="E916" s="1" t="s">
        <v>68</v>
      </c>
      <c r="F916" s="1" t="s">
        <v>78</v>
      </c>
      <c r="G916" s="1" t="s">
        <v>24</v>
      </c>
      <c r="H916" s="1" t="s">
        <v>35</v>
      </c>
      <c r="I916" s="1">
        <v>155</v>
      </c>
      <c r="J916" s="1">
        <v>30</v>
      </c>
      <c r="K916" s="1">
        <v>0.09</v>
      </c>
      <c r="L916" s="1">
        <v>4650</v>
      </c>
      <c r="M916" s="1">
        <v>4231.5</v>
      </c>
      <c r="N916" s="1">
        <v>4810.93</v>
      </c>
      <c r="O916" s="1">
        <v>0.88</v>
      </c>
      <c r="P916" s="2" t="s">
        <v>73</v>
      </c>
      <c r="Q916" s="13" t="s">
        <v>22</v>
      </c>
    </row>
    <row r="917" spans="1:17" x14ac:dyDescent="0.45">
      <c r="A917" s="10">
        <v>46060</v>
      </c>
      <c r="B917" s="1" t="s">
        <v>988</v>
      </c>
      <c r="C917" s="1" t="s">
        <v>67</v>
      </c>
      <c r="D917" s="1" t="s">
        <v>28</v>
      </c>
      <c r="E917" s="1" t="s">
        <v>82</v>
      </c>
      <c r="F917" s="1" t="s">
        <v>71</v>
      </c>
      <c r="G917" s="1" t="s">
        <v>24</v>
      </c>
      <c r="H917" s="1" t="s">
        <v>30</v>
      </c>
      <c r="I917" s="1">
        <v>46</v>
      </c>
      <c r="J917" s="1">
        <v>40</v>
      </c>
      <c r="K917" s="1">
        <v>0.11</v>
      </c>
      <c r="L917" s="1">
        <v>1840</v>
      </c>
      <c r="M917" s="1">
        <v>1637.6</v>
      </c>
      <c r="N917" s="1">
        <v>1603.95</v>
      </c>
      <c r="O917" s="1">
        <v>1.02</v>
      </c>
      <c r="P917" s="2" t="s">
        <v>73</v>
      </c>
      <c r="Q917" s="14" t="s">
        <v>22</v>
      </c>
    </row>
    <row r="918" spans="1:17" x14ac:dyDescent="0.45">
      <c r="A918" s="10">
        <v>46074</v>
      </c>
      <c r="B918" s="1" t="s">
        <v>989</v>
      </c>
      <c r="C918" s="1" t="s">
        <v>67</v>
      </c>
      <c r="D918" s="1" t="s">
        <v>28</v>
      </c>
      <c r="E918" s="1" t="s">
        <v>59</v>
      </c>
      <c r="F918" s="1" t="s">
        <v>60</v>
      </c>
      <c r="G918" s="1" t="s">
        <v>20</v>
      </c>
      <c r="H918" s="1" t="s">
        <v>33</v>
      </c>
      <c r="I918" s="1">
        <v>90</v>
      </c>
      <c r="J918" s="1">
        <v>35</v>
      </c>
      <c r="K918" s="1">
        <v>0.06</v>
      </c>
      <c r="L918" s="1">
        <v>3150</v>
      </c>
      <c r="M918" s="1">
        <v>2961</v>
      </c>
      <c r="N918" s="1">
        <v>2658.56</v>
      </c>
      <c r="O918" s="1">
        <v>1.1100000000000001</v>
      </c>
      <c r="P918" s="2" t="s">
        <v>52</v>
      </c>
      <c r="Q918" s="13" t="s">
        <v>22</v>
      </c>
    </row>
    <row r="919" spans="1:17" x14ac:dyDescent="0.45">
      <c r="A919" s="10">
        <v>46099</v>
      </c>
      <c r="B919" s="1" t="s">
        <v>990</v>
      </c>
      <c r="C919" s="1" t="s">
        <v>64</v>
      </c>
      <c r="D919" s="1" t="s">
        <v>15</v>
      </c>
      <c r="E919" s="1" t="s">
        <v>62</v>
      </c>
      <c r="F919" s="1" t="s">
        <v>71</v>
      </c>
      <c r="G919" s="1" t="s">
        <v>24</v>
      </c>
      <c r="H919" s="1" t="s">
        <v>35</v>
      </c>
      <c r="I919" s="1">
        <v>170</v>
      </c>
      <c r="J919" s="1">
        <v>30</v>
      </c>
      <c r="K919" s="1">
        <v>0.03</v>
      </c>
      <c r="L919" s="1">
        <v>5100</v>
      </c>
      <c r="M919" s="1">
        <v>4947</v>
      </c>
      <c r="N919" s="1">
        <v>5318.78</v>
      </c>
      <c r="O919" s="1">
        <v>0.93</v>
      </c>
      <c r="P919" s="2" t="s">
        <v>52</v>
      </c>
      <c r="Q919" s="14" t="s">
        <v>26</v>
      </c>
    </row>
    <row r="920" spans="1:17" x14ac:dyDescent="0.45">
      <c r="A920" s="10">
        <v>46174</v>
      </c>
      <c r="B920" s="1" t="s">
        <v>991</v>
      </c>
      <c r="C920" s="1" t="s">
        <v>75</v>
      </c>
      <c r="D920" s="1" t="s">
        <v>15</v>
      </c>
      <c r="E920" s="1" t="s">
        <v>62</v>
      </c>
      <c r="F920" s="1" t="s">
        <v>78</v>
      </c>
      <c r="G920" s="1" t="s">
        <v>20</v>
      </c>
      <c r="H920" s="1" t="s">
        <v>23</v>
      </c>
      <c r="I920" s="1">
        <v>114</v>
      </c>
      <c r="J920" s="1">
        <v>180</v>
      </c>
      <c r="K920" s="1">
        <v>0.06</v>
      </c>
      <c r="L920" s="1">
        <v>20520</v>
      </c>
      <c r="M920" s="1">
        <v>19288.8</v>
      </c>
      <c r="N920" s="1">
        <v>18831.07</v>
      </c>
      <c r="O920" s="1">
        <v>1.02</v>
      </c>
      <c r="P920" s="2" t="s">
        <v>73</v>
      </c>
      <c r="Q920" s="13" t="s">
        <v>34</v>
      </c>
    </row>
    <row r="921" spans="1:17" x14ac:dyDescent="0.45">
      <c r="A921" s="10">
        <v>46161</v>
      </c>
      <c r="B921" s="1" t="s">
        <v>992</v>
      </c>
      <c r="C921" s="1" t="s">
        <v>49</v>
      </c>
      <c r="D921" s="1" t="s">
        <v>21</v>
      </c>
      <c r="E921" s="1" t="s">
        <v>80</v>
      </c>
      <c r="F921" s="1" t="s">
        <v>78</v>
      </c>
      <c r="G921" s="1" t="s">
        <v>20</v>
      </c>
      <c r="H921" s="1" t="s">
        <v>23</v>
      </c>
      <c r="I921" s="1">
        <v>53</v>
      </c>
      <c r="J921" s="1">
        <v>180</v>
      </c>
      <c r="K921" s="1">
        <v>0.13</v>
      </c>
      <c r="L921" s="1">
        <v>9540</v>
      </c>
      <c r="M921" s="1">
        <v>8299.7999999999993</v>
      </c>
      <c r="N921" s="1">
        <v>8539.44</v>
      </c>
      <c r="O921" s="1">
        <v>0.97</v>
      </c>
      <c r="P921" s="2" t="s">
        <v>52</v>
      </c>
      <c r="Q921" s="14" t="s">
        <v>32</v>
      </c>
    </row>
    <row r="922" spans="1:17" x14ac:dyDescent="0.45">
      <c r="A922" s="10">
        <v>46042</v>
      </c>
      <c r="B922" s="1" t="s">
        <v>993</v>
      </c>
      <c r="C922" s="1" t="s">
        <v>58</v>
      </c>
      <c r="D922" s="1" t="s">
        <v>25</v>
      </c>
      <c r="E922" s="1" t="s">
        <v>68</v>
      </c>
      <c r="F922" s="1" t="s">
        <v>95</v>
      </c>
      <c r="G922" s="1" t="s">
        <v>14</v>
      </c>
      <c r="H922" s="1" t="s">
        <v>27</v>
      </c>
      <c r="I922" s="1">
        <v>89</v>
      </c>
      <c r="J922" s="1">
        <v>120</v>
      </c>
      <c r="K922" s="1">
        <v>0.14000000000000001</v>
      </c>
      <c r="L922" s="1">
        <v>10680</v>
      </c>
      <c r="M922" s="1">
        <v>9184.7999999999993</v>
      </c>
      <c r="N922" s="1">
        <v>10214.76</v>
      </c>
      <c r="O922" s="1">
        <v>0.9</v>
      </c>
      <c r="P922" s="2" t="s">
        <v>52</v>
      </c>
      <c r="Q922" s="13" t="s">
        <v>16</v>
      </c>
    </row>
    <row r="923" spans="1:17" x14ac:dyDescent="0.45">
      <c r="A923" s="10">
        <v>46156</v>
      </c>
      <c r="B923" s="1" t="s">
        <v>994</v>
      </c>
      <c r="C923" s="1" t="s">
        <v>75</v>
      </c>
      <c r="D923" s="1" t="s">
        <v>21</v>
      </c>
      <c r="E923" s="1" t="s">
        <v>50</v>
      </c>
      <c r="F923" s="1" t="s">
        <v>95</v>
      </c>
      <c r="G923" s="1" t="s">
        <v>24</v>
      </c>
      <c r="H923" s="1" t="s">
        <v>30</v>
      </c>
      <c r="I923" s="1">
        <v>153</v>
      </c>
      <c r="J923" s="1">
        <v>40</v>
      </c>
      <c r="K923" s="1">
        <v>0.04</v>
      </c>
      <c r="L923" s="1">
        <v>6120</v>
      </c>
      <c r="M923" s="1">
        <v>5875.2</v>
      </c>
      <c r="N923" s="1">
        <v>5409.6</v>
      </c>
      <c r="O923" s="1">
        <v>1.0900000000000001</v>
      </c>
      <c r="P923" s="2" t="s">
        <v>73</v>
      </c>
      <c r="Q923" s="14" t="s">
        <v>32</v>
      </c>
    </row>
    <row r="924" spans="1:17" x14ac:dyDescent="0.45">
      <c r="A924" s="10">
        <v>46145</v>
      </c>
      <c r="B924" s="1" t="s">
        <v>995</v>
      </c>
      <c r="C924" s="1" t="s">
        <v>49</v>
      </c>
      <c r="D924" s="1" t="s">
        <v>25</v>
      </c>
      <c r="E924" s="1" t="s">
        <v>98</v>
      </c>
      <c r="F924" s="1" t="s">
        <v>51</v>
      </c>
      <c r="G924" s="1" t="s">
        <v>20</v>
      </c>
      <c r="H924" s="1" t="s">
        <v>33</v>
      </c>
      <c r="I924" s="1">
        <v>55</v>
      </c>
      <c r="J924" s="1">
        <v>35</v>
      </c>
      <c r="K924" s="1">
        <v>0.14000000000000001</v>
      </c>
      <c r="L924" s="1">
        <v>1925</v>
      </c>
      <c r="M924" s="1">
        <v>1655.5</v>
      </c>
      <c r="N924" s="1">
        <v>1921.95</v>
      </c>
      <c r="O924" s="1">
        <v>0.86</v>
      </c>
      <c r="P924" s="2" t="s">
        <v>73</v>
      </c>
      <c r="Q924" s="13" t="s">
        <v>32</v>
      </c>
    </row>
    <row r="925" spans="1:17" x14ac:dyDescent="0.45">
      <c r="A925" s="10">
        <v>46151</v>
      </c>
      <c r="B925" s="1" t="s">
        <v>996</v>
      </c>
      <c r="C925" s="1" t="s">
        <v>75</v>
      </c>
      <c r="D925" s="1" t="s">
        <v>25</v>
      </c>
      <c r="E925" s="1" t="s">
        <v>98</v>
      </c>
      <c r="F925" s="1" t="s">
        <v>95</v>
      </c>
      <c r="G925" s="1" t="s">
        <v>24</v>
      </c>
      <c r="H925" s="1" t="s">
        <v>30</v>
      </c>
      <c r="I925" s="1">
        <v>181</v>
      </c>
      <c r="J925" s="1">
        <v>40</v>
      </c>
      <c r="K925" s="1">
        <v>7.0000000000000007E-2</v>
      </c>
      <c r="L925" s="1">
        <v>7240</v>
      </c>
      <c r="M925" s="1">
        <v>6733.2</v>
      </c>
      <c r="N925" s="1">
        <v>7955.94</v>
      </c>
      <c r="O925" s="1">
        <v>0.85</v>
      </c>
      <c r="P925" s="2" t="s">
        <v>52</v>
      </c>
      <c r="Q925" s="14" t="s">
        <v>32</v>
      </c>
    </row>
    <row r="926" spans="1:17" x14ac:dyDescent="0.45">
      <c r="A926" s="10">
        <v>46192</v>
      </c>
      <c r="B926" s="1" t="s">
        <v>997</v>
      </c>
      <c r="C926" s="1" t="s">
        <v>67</v>
      </c>
      <c r="D926" s="1" t="s">
        <v>21</v>
      </c>
      <c r="E926" s="1" t="s">
        <v>50</v>
      </c>
      <c r="F926" s="1" t="s">
        <v>51</v>
      </c>
      <c r="G926" s="1" t="s">
        <v>14</v>
      </c>
      <c r="H926" s="1" t="s">
        <v>18</v>
      </c>
      <c r="I926" s="1">
        <v>170</v>
      </c>
      <c r="J926" s="1">
        <v>250</v>
      </c>
      <c r="K926" s="1">
        <v>0.15</v>
      </c>
      <c r="L926" s="1">
        <v>42500</v>
      </c>
      <c r="M926" s="1">
        <v>36125</v>
      </c>
      <c r="N926" s="1">
        <v>33138.660000000003</v>
      </c>
      <c r="O926" s="1">
        <v>1.0900000000000001</v>
      </c>
      <c r="P926" s="2" t="s">
        <v>52</v>
      </c>
      <c r="Q926" s="13" t="s">
        <v>34</v>
      </c>
    </row>
    <row r="927" spans="1:17" x14ac:dyDescent="0.45">
      <c r="A927" s="10">
        <v>46173</v>
      </c>
      <c r="B927" s="1" t="s">
        <v>998</v>
      </c>
      <c r="C927" s="1" t="s">
        <v>58</v>
      </c>
      <c r="D927" s="1" t="s">
        <v>21</v>
      </c>
      <c r="E927" s="1" t="s">
        <v>80</v>
      </c>
      <c r="F927" s="1" t="s">
        <v>71</v>
      </c>
      <c r="G927" s="1" t="s">
        <v>14</v>
      </c>
      <c r="H927" s="1" t="s">
        <v>27</v>
      </c>
      <c r="I927" s="1">
        <v>22</v>
      </c>
      <c r="J927" s="1">
        <v>120</v>
      </c>
      <c r="K927" s="1">
        <v>7.0000000000000007E-2</v>
      </c>
      <c r="L927" s="1">
        <v>2640</v>
      </c>
      <c r="M927" s="1">
        <v>2455.1999999999998</v>
      </c>
      <c r="N927" s="1">
        <v>2175</v>
      </c>
      <c r="O927" s="1">
        <v>1.1299999999999999</v>
      </c>
      <c r="P927" s="2" t="s">
        <v>52</v>
      </c>
      <c r="Q927" s="14" t="s">
        <v>32</v>
      </c>
    </row>
    <row r="928" spans="1:17" x14ac:dyDescent="0.45">
      <c r="A928" s="10">
        <v>46127</v>
      </c>
      <c r="B928" s="1" t="s">
        <v>999</v>
      </c>
      <c r="C928" s="1" t="s">
        <v>64</v>
      </c>
      <c r="D928" s="1" t="s">
        <v>21</v>
      </c>
      <c r="E928" s="1" t="s">
        <v>80</v>
      </c>
      <c r="F928" s="1" t="s">
        <v>51</v>
      </c>
      <c r="G928" s="1" t="s">
        <v>20</v>
      </c>
      <c r="H928" s="1" t="s">
        <v>23</v>
      </c>
      <c r="I928" s="1">
        <v>128</v>
      </c>
      <c r="J928" s="1">
        <v>180</v>
      </c>
      <c r="K928" s="1">
        <v>0.02</v>
      </c>
      <c r="L928" s="1">
        <v>23040</v>
      </c>
      <c r="M928" s="1">
        <v>22579.200000000001</v>
      </c>
      <c r="N928" s="1">
        <v>19545.91</v>
      </c>
      <c r="O928" s="1">
        <v>1.1599999999999999</v>
      </c>
      <c r="P928" s="2" t="s">
        <v>52</v>
      </c>
      <c r="Q928" s="13" t="s">
        <v>29</v>
      </c>
    </row>
    <row r="929" spans="1:17" x14ac:dyDescent="0.45">
      <c r="A929" s="10">
        <v>46178</v>
      </c>
      <c r="B929" s="1" t="s">
        <v>1000</v>
      </c>
      <c r="C929" s="1" t="s">
        <v>54</v>
      </c>
      <c r="D929" s="1" t="s">
        <v>21</v>
      </c>
      <c r="E929" s="1" t="s">
        <v>50</v>
      </c>
      <c r="F929" s="1" t="s">
        <v>51</v>
      </c>
      <c r="G929" s="1" t="s">
        <v>20</v>
      </c>
      <c r="H929" s="1" t="s">
        <v>23</v>
      </c>
      <c r="I929" s="1">
        <v>74</v>
      </c>
      <c r="J929" s="1">
        <v>180</v>
      </c>
      <c r="K929" s="1">
        <v>0.01</v>
      </c>
      <c r="L929" s="1">
        <v>13320</v>
      </c>
      <c r="M929" s="1">
        <v>13186.8</v>
      </c>
      <c r="N929" s="1">
        <v>13724.38</v>
      </c>
      <c r="O929" s="1">
        <v>0.96</v>
      </c>
      <c r="P929" s="2" t="s">
        <v>73</v>
      </c>
      <c r="Q929" s="14" t="s">
        <v>34</v>
      </c>
    </row>
    <row r="930" spans="1:17" x14ac:dyDescent="0.45">
      <c r="A930" s="10">
        <v>46104</v>
      </c>
      <c r="B930" s="1" t="s">
        <v>1001</v>
      </c>
      <c r="C930" s="1" t="s">
        <v>67</v>
      </c>
      <c r="D930" s="1" t="s">
        <v>28</v>
      </c>
      <c r="E930" s="1" t="s">
        <v>70</v>
      </c>
      <c r="F930" s="1" t="s">
        <v>56</v>
      </c>
      <c r="G930" s="1" t="s">
        <v>14</v>
      </c>
      <c r="H930" s="1" t="s">
        <v>18</v>
      </c>
      <c r="I930" s="1">
        <v>148</v>
      </c>
      <c r="J930" s="1">
        <v>250</v>
      </c>
      <c r="K930" s="1">
        <v>0.1</v>
      </c>
      <c r="L930" s="1">
        <v>37000</v>
      </c>
      <c r="M930" s="1">
        <v>33300</v>
      </c>
      <c r="N930" s="1">
        <v>36723.58</v>
      </c>
      <c r="O930" s="1">
        <v>0.91</v>
      </c>
      <c r="P930" s="2" t="s">
        <v>52</v>
      </c>
      <c r="Q930" s="13" t="s">
        <v>26</v>
      </c>
    </row>
    <row r="931" spans="1:17" x14ac:dyDescent="0.45">
      <c r="A931" s="10">
        <v>46099</v>
      </c>
      <c r="B931" s="1" t="s">
        <v>1002</v>
      </c>
      <c r="C931" s="1" t="s">
        <v>64</v>
      </c>
      <c r="D931" s="1" t="s">
        <v>25</v>
      </c>
      <c r="E931" s="1" t="s">
        <v>104</v>
      </c>
      <c r="F931" s="1" t="s">
        <v>95</v>
      </c>
      <c r="G931" s="1" t="s">
        <v>20</v>
      </c>
      <c r="H931" s="1" t="s">
        <v>23</v>
      </c>
      <c r="I931" s="1">
        <v>182</v>
      </c>
      <c r="J931" s="1">
        <v>180</v>
      </c>
      <c r="K931" s="1">
        <v>0.04</v>
      </c>
      <c r="L931" s="1">
        <v>32760</v>
      </c>
      <c r="M931" s="1">
        <v>31449.599999999999</v>
      </c>
      <c r="N931" s="1">
        <v>26322.07</v>
      </c>
      <c r="O931" s="1">
        <v>1.19</v>
      </c>
      <c r="P931" s="2" t="s">
        <v>52</v>
      </c>
      <c r="Q931" s="14" t="s">
        <v>26</v>
      </c>
    </row>
    <row r="932" spans="1:17" x14ac:dyDescent="0.45">
      <c r="A932" s="10">
        <v>46120</v>
      </c>
      <c r="B932" s="1" t="s">
        <v>1003</v>
      </c>
      <c r="C932" s="1" t="s">
        <v>75</v>
      </c>
      <c r="D932" s="1" t="s">
        <v>15</v>
      </c>
      <c r="E932" s="1" t="s">
        <v>62</v>
      </c>
      <c r="F932" s="1" t="s">
        <v>95</v>
      </c>
      <c r="G932" s="1" t="s">
        <v>24</v>
      </c>
      <c r="H932" s="1" t="s">
        <v>30</v>
      </c>
      <c r="I932" s="1">
        <v>140</v>
      </c>
      <c r="J932" s="1">
        <v>40</v>
      </c>
      <c r="K932" s="1">
        <v>0.08</v>
      </c>
      <c r="L932" s="1">
        <v>5600</v>
      </c>
      <c r="M932" s="1">
        <v>5152</v>
      </c>
      <c r="N932" s="1">
        <v>5372.5</v>
      </c>
      <c r="O932" s="1">
        <v>0.96</v>
      </c>
      <c r="P932" s="2" t="s">
        <v>73</v>
      </c>
      <c r="Q932" s="13" t="s">
        <v>29</v>
      </c>
    </row>
    <row r="933" spans="1:17" x14ac:dyDescent="0.45">
      <c r="A933" s="10">
        <v>46196</v>
      </c>
      <c r="B933" s="1" t="s">
        <v>1004</v>
      </c>
      <c r="C933" s="1" t="s">
        <v>64</v>
      </c>
      <c r="D933" s="1" t="s">
        <v>25</v>
      </c>
      <c r="E933" s="1" t="s">
        <v>98</v>
      </c>
      <c r="F933" s="1" t="s">
        <v>78</v>
      </c>
      <c r="G933" s="1" t="s">
        <v>20</v>
      </c>
      <c r="H933" s="1" t="s">
        <v>23</v>
      </c>
      <c r="I933" s="1">
        <v>185</v>
      </c>
      <c r="J933" s="1">
        <v>180</v>
      </c>
      <c r="K933" s="1">
        <v>0.04</v>
      </c>
      <c r="L933" s="1">
        <v>33300</v>
      </c>
      <c r="M933" s="1">
        <v>31968</v>
      </c>
      <c r="N933" s="1">
        <v>27390.03</v>
      </c>
      <c r="O933" s="1">
        <v>1.17</v>
      </c>
      <c r="P933" s="2" t="s">
        <v>73</v>
      </c>
      <c r="Q933" s="14" t="s">
        <v>34</v>
      </c>
    </row>
    <row r="934" spans="1:17" x14ac:dyDescent="0.45">
      <c r="A934" s="10">
        <v>46100</v>
      </c>
      <c r="B934" s="1" t="s">
        <v>1005</v>
      </c>
      <c r="C934" s="1" t="s">
        <v>67</v>
      </c>
      <c r="D934" s="1" t="s">
        <v>28</v>
      </c>
      <c r="E934" s="1" t="s">
        <v>65</v>
      </c>
      <c r="F934" s="1" t="s">
        <v>51</v>
      </c>
      <c r="G934" s="1" t="s">
        <v>20</v>
      </c>
      <c r="H934" s="1" t="s">
        <v>23</v>
      </c>
      <c r="I934" s="1">
        <v>41</v>
      </c>
      <c r="J934" s="1">
        <v>180</v>
      </c>
      <c r="K934" s="1">
        <v>0.06</v>
      </c>
      <c r="L934" s="1">
        <v>7380</v>
      </c>
      <c r="M934" s="1">
        <v>6937.2</v>
      </c>
      <c r="N934" s="1">
        <v>8137.83</v>
      </c>
      <c r="O934" s="1">
        <v>0.85</v>
      </c>
      <c r="P934" s="2" t="s">
        <v>52</v>
      </c>
      <c r="Q934" s="13" t="s">
        <v>26</v>
      </c>
    </row>
    <row r="935" spans="1:17" x14ac:dyDescent="0.45">
      <c r="A935" s="10">
        <v>46055</v>
      </c>
      <c r="B935" s="1" t="s">
        <v>1006</v>
      </c>
      <c r="C935" s="1" t="s">
        <v>75</v>
      </c>
      <c r="D935" s="1" t="s">
        <v>15</v>
      </c>
      <c r="E935" s="1" t="s">
        <v>55</v>
      </c>
      <c r="F935" s="1" t="s">
        <v>95</v>
      </c>
      <c r="G935" s="1" t="s">
        <v>20</v>
      </c>
      <c r="H935" s="1" t="s">
        <v>23</v>
      </c>
      <c r="I935" s="1">
        <v>152</v>
      </c>
      <c r="J935" s="1">
        <v>180</v>
      </c>
      <c r="K935" s="1">
        <v>0.14000000000000001</v>
      </c>
      <c r="L935" s="1">
        <v>27360</v>
      </c>
      <c r="M935" s="1">
        <v>23529.599999999999</v>
      </c>
      <c r="N935" s="1">
        <v>23914.52</v>
      </c>
      <c r="O935" s="1">
        <v>0.98</v>
      </c>
      <c r="P935" s="2" t="s">
        <v>73</v>
      </c>
      <c r="Q935" s="14" t="s">
        <v>22</v>
      </c>
    </row>
    <row r="936" spans="1:17" x14ac:dyDescent="0.45">
      <c r="A936" s="10">
        <v>46039</v>
      </c>
      <c r="B936" s="1" t="s">
        <v>1007</v>
      </c>
      <c r="C936" s="1" t="s">
        <v>49</v>
      </c>
      <c r="D936" s="1" t="s">
        <v>28</v>
      </c>
      <c r="E936" s="1" t="s">
        <v>70</v>
      </c>
      <c r="F936" s="1" t="s">
        <v>78</v>
      </c>
      <c r="G936" s="1" t="s">
        <v>20</v>
      </c>
      <c r="H936" s="1" t="s">
        <v>23</v>
      </c>
      <c r="I936" s="1">
        <v>43</v>
      </c>
      <c r="J936" s="1">
        <v>180</v>
      </c>
      <c r="K936" s="1">
        <v>0.15</v>
      </c>
      <c r="L936" s="1">
        <v>7740</v>
      </c>
      <c r="M936" s="1">
        <v>6579</v>
      </c>
      <c r="N936" s="1">
        <v>7626.25</v>
      </c>
      <c r="O936" s="1">
        <v>0.86</v>
      </c>
      <c r="P936" s="2" t="s">
        <v>73</v>
      </c>
      <c r="Q936" s="13" t="s">
        <v>16</v>
      </c>
    </row>
    <row r="937" spans="1:17" x14ac:dyDescent="0.45">
      <c r="A937" s="10">
        <v>46093</v>
      </c>
      <c r="B937" s="1" t="s">
        <v>1008</v>
      </c>
      <c r="C937" s="1" t="s">
        <v>67</v>
      </c>
      <c r="D937" s="1" t="s">
        <v>25</v>
      </c>
      <c r="E937" s="1" t="s">
        <v>104</v>
      </c>
      <c r="F937" s="1" t="s">
        <v>56</v>
      </c>
      <c r="G937" s="1" t="s">
        <v>20</v>
      </c>
      <c r="H937" s="1" t="s">
        <v>23</v>
      </c>
      <c r="I937" s="1">
        <v>54</v>
      </c>
      <c r="J937" s="1">
        <v>180</v>
      </c>
      <c r="K937" s="1">
        <v>0.11</v>
      </c>
      <c r="L937" s="1">
        <v>9720</v>
      </c>
      <c r="M937" s="1">
        <v>8650.7999999999993</v>
      </c>
      <c r="N937" s="1">
        <v>9159.41</v>
      </c>
      <c r="O937" s="1">
        <v>0.94</v>
      </c>
      <c r="P937" s="2" t="s">
        <v>52</v>
      </c>
      <c r="Q937" s="14" t="s">
        <v>26</v>
      </c>
    </row>
    <row r="938" spans="1:17" x14ac:dyDescent="0.45">
      <c r="A938" s="10">
        <v>46073</v>
      </c>
      <c r="B938" s="1" t="s">
        <v>1009</v>
      </c>
      <c r="C938" s="1" t="s">
        <v>75</v>
      </c>
      <c r="D938" s="1" t="s">
        <v>25</v>
      </c>
      <c r="E938" s="1" t="s">
        <v>68</v>
      </c>
      <c r="F938" s="1" t="s">
        <v>95</v>
      </c>
      <c r="G938" s="1" t="s">
        <v>14</v>
      </c>
      <c r="H938" s="1" t="s">
        <v>18</v>
      </c>
      <c r="I938" s="1">
        <v>112</v>
      </c>
      <c r="J938" s="1">
        <v>250</v>
      </c>
      <c r="K938" s="1">
        <v>0.05</v>
      </c>
      <c r="L938" s="1">
        <v>28000</v>
      </c>
      <c r="M938" s="1">
        <v>26600</v>
      </c>
      <c r="N938" s="1">
        <v>29824.36</v>
      </c>
      <c r="O938" s="1">
        <v>0.89</v>
      </c>
      <c r="P938" s="2" t="s">
        <v>52</v>
      </c>
      <c r="Q938" s="13" t="s">
        <v>22</v>
      </c>
    </row>
    <row r="939" spans="1:17" x14ac:dyDescent="0.45">
      <c r="A939" s="10">
        <v>46053</v>
      </c>
      <c r="B939" s="1" t="s">
        <v>1010</v>
      </c>
      <c r="C939" s="1" t="s">
        <v>75</v>
      </c>
      <c r="D939" s="1" t="s">
        <v>25</v>
      </c>
      <c r="E939" s="1" t="s">
        <v>68</v>
      </c>
      <c r="F939" s="1" t="s">
        <v>78</v>
      </c>
      <c r="G939" s="1" t="s">
        <v>20</v>
      </c>
      <c r="H939" s="1" t="s">
        <v>23</v>
      </c>
      <c r="I939" s="1">
        <v>68</v>
      </c>
      <c r="J939" s="1">
        <v>180</v>
      </c>
      <c r="K939" s="1">
        <v>0.08</v>
      </c>
      <c r="L939" s="1">
        <v>12240</v>
      </c>
      <c r="M939" s="1">
        <v>11260.8</v>
      </c>
      <c r="N939" s="1">
        <v>9090.01</v>
      </c>
      <c r="O939" s="1">
        <v>1.24</v>
      </c>
      <c r="P939" s="2" t="s">
        <v>52</v>
      </c>
      <c r="Q939" s="14" t="s">
        <v>16</v>
      </c>
    </row>
    <row r="940" spans="1:17" x14ac:dyDescent="0.45">
      <c r="A940" s="10">
        <v>46094</v>
      </c>
      <c r="B940" s="1" t="s">
        <v>1011</v>
      </c>
      <c r="C940" s="1" t="s">
        <v>64</v>
      </c>
      <c r="D940" s="1" t="s">
        <v>21</v>
      </c>
      <c r="E940" s="1" t="s">
        <v>80</v>
      </c>
      <c r="F940" s="1" t="s">
        <v>78</v>
      </c>
      <c r="G940" s="1" t="s">
        <v>20</v>
      </c>
      <c r="H940" s="1" t="s">
        <v>33</v>
      </c>
      <c r="I940" s="1">
        <v>140</v>
      </c>
      <c r="J940" s="1">
        <v>35</v>
      </c>
      <c r="K940" s="1">
        <v>0.05</v>
      </c>
      <c r="L940" s="1">
        <v>4900</v>
      </c>
      <c r="M940" s="1">
        <v>4655</v>
      </c>
      <c r="N940" s="1">
        <v>4009.97</v>
      </c>
      <c r="O940" s="1">
        <v>1.1599999999999999</v>
      </c>
      <c r="P940" s="2" t="s">
        <v>52</v>
      </c>
      <c r="Q940" s="13" t="s">
        <v>26</v>
      </c>
    </row>
    <row r="941" spans="1:17" x14ac:dyDescent="0.45">
      <c r="A941" s="10">
        <v>46168</v>
      </c>
      <c r="B941" s="1" t="s">
        <v>1012</v>
      </c>
      <c r="C941" s="1" t="s">
        <v>58</v>
      </c>
      <c r="D941" s="1" t="s">
        <v>28</v>
      </c>
      <c r="E941" s="1" t="s">
        <v>59</v>
      </c>
      <c r="F941" s="1" t="s">
        <v>51</v>
      </c>
      <c r="G941" s="1" t="s">
        <v>24</v>
      </c>
      <c r="H941" s="1" t="s">
        <v>30</v>
      </c>
      <c r="I941" s="1">
        <v>50</v>
      </c>
      <c r="J941" s="1">
        <v>40</v>
      </c>
      <c r="K941" s="1">
        <v>0.04</v>
      </c>
      <c r="L941" s="1">
        <v>2000</v>
      </c>
      <c r="M941" s="1">
        <v>1920</v>
      </c>
      <c r="N941" s="1">
        <v>1995.04</v>
      </c>
      <c r="O941" s="1">
        <v>0.96</v>
      </c>
      <c r="P941" s="2" t="s">
        <v>73</v>
      </c>
      <c r="Q941" s="14" t="s">
        <v>32</v>
      </c>
    </row>
    <row r="942" spans="1:17" x14ac:dyDescent="0.45">
      <c r="A942" s="10">
        <v>46029</v>
      </c>
      <c r="B942" s="1" t="s">
        <v>1013</v>
      </c>
      <c r="C942" s="1" t="s">
        <v>54</v>
      </c>
      <c r="D942" s="1" t="s">
        <v>15</v>
      </c>
      <c r="E942" s="1" t="s">
        <v>62</v>
      </c>
      <c r="F942" s="1" t="s">
        <v>78</v>
      </c>
      <c r="G942" s="1" t="s">
        <v>24</v>
      </c>
      <c r="H942" s="1" t="s">
        <v>30</v>
      </c>
      <c r="I942" s="1">
        <v>154</v>
      </c>
      <c r="J942" s="1">
        <v>40</v>
      </c>
      <c r="K942" s="1">
        <v>0.09</v>
      </c>
      <c r="L942" s="1">
        <v>6160</v>
      </c>
      <c r="M942" s="1">
        <v>5605.6</v>
      </c>
      <c r="N942" s="1">
        <v>5741.74</v>
      </c>
      <c r="O942" s="1">
        <v>0.98</v>
      </c>
      <c r="P942" s="2" t="s">
        <v>73</v>
      </c>
      <c r="Q942" s="13" t="s">
        <v>16</v>
      </c>
    </row>
    <row r="943" spans="1:17" x14ac:dyDescent="0.45">
      <c r="A943" s="10">
        <v>46117</v>
      </c>
      <c r="B943" s="1" t="s">
        <v>1014</v>
      </c>
      <c r="C943" s="1" t="s">
        <v>58</v>
      </c>
      <c r="D943" s="1" t="s">
        <v>25</v>
      </c>
      <c r="E943" s="1" t="s">
        <v>98</v>
      </c>
      <c r="F943" s="1" t="s">
        <v>78</v>
      </c>
      <c r="G943" s="1" t="s">
        <v>14</v>
      </c>
      <c r="H943" s="1" t="s">
        <v>18</v>
      </c>
      <c r="I943" s="1">
        <v>39</v>
      </c>
      <c r="J943" s="1">
        <v>250</v>
      </c>
      <c r="K943" s="1">
        <v>7.0000000000000007E-2</v>
      </c>
      <c r="L943" s="1">
        <v>9750</v>
      </c>
      <c r="M943" s="1">
        <v>9067.5</v>
      </c>
      <c r="N943" s="1">
        <v>9588.7800000000007</v>
      </c>
      <c r="O943" s="1">
        <v>0.95</v>
      </c>
      <c r="P943" s="2" t="s">
        <v>73</v>
      </c>
      <c r="Q943" s="14" t="s">
        <v>29</v>
      </c>
    </row>
    <row r="944" spans="1:17" x14ac:dyDescent="0.45">
      <c r="A944" s="10">
        <v>46044</v>
      </c>
      <c r="B944" s="1" t="s">
        <v>1015</v>
      </c>
      <c r="C944" s="1" t="s">
        <v>49</v>
      </c>
      <c r="D944" s="1" t="s">
        <v>25</v>
      </c>
      <c r="E944" s="1" t="s">
        <v>98</v>
      </c>
      <c r="F944" s="1" t="s">
        <v>78</v>
      </c>
      <c r="G944" s="1" t="s">
        <v>24</v>
      </c>
      <c r="H944" s="1" t="s">
        <v>30</v>
      </c>
      <c r="I944" s="1">
        <v>164</v>
      </c>
      <c r="J944" s="1">
        <v>40</v>
      </c>
      <c r="K944" s="1">
        <v>0.06</v>
      </c>
      <c r="L944" s="1">
        <v>6560</v>
      </c>
      <c r="M944" s="1">
        <v>6166.4</v>
      </c>
      <c r="N944" s="1">
        <v>5506.69</v>
      </c>
      <c r="O944" s="1">
        <v>1.1200000000000001</v>
      </c>
      <c r="P944" s="2" t="s">
        <v>73</v>
      </c>
      <c r="Q944" s="13" t="s">
        <v>16</v>
      </c>
    </row>
    <row r="945" spans="1:17" x14ac:dyDescent="0.45">
      <c r="A945" s="10">
        <v>46121</v>
      </c>
      <c r="B945" s="1" t="s">
        <v>1016</v>
      </c>
      <c r="C945" s="1" t="s">
        <v>75</v>
      </c>
      <c r="D945" s="1" t="s">
        <v>21</v>
      </c>
      <c r="E945" s="1" t="s">
        <v>80</v>
      </c>
      <c r="F945" s="1" t="s">
        <v>56</v>
      </c>
      <c r="G945" s="1" t="s">
        <v>20</v>
      </c>
      <c r="H945" s="1" t="s">
        <v>33</v>
      </c>
      <c r="I945" s="1">
        <v>45</v>
      </c>
      <c r="J945" s="1">
        <v>35</v>
      </c>
      <c r="K945" s="1">
        <v>0.02</v>
      </c>
      <c r="L945" s="1">
        <v>1575</v>
      </c>
      <c r="M945" s="1">
        <v>1543.5</v>
      </c>
      <c r="N945" s="1">
        <v>1652.28</v>
      </c>
      <c r="O945" s="1">
        <v>0.93</v>
      </c>
      <c r="P945" s="2" t="s">
        <v>52</v>
      </c>
      <c r="Q945" s="14" t="s">
        <v>29</v>
      </c>
    </row>
    <row r="946" spans="1:17" x14ac:dyDescent="0.45">
      <c r="A946" s="10">
        <v>46102</v>
      </c>
      <c r="B946" s="1" t="s">
        <v>1017</v>
      </c>
      <c r="C946" s="1" t="s">
        <v>64</v>
      </c>
      <c r="D946" s="1" t="s">
        <v>21</v>
      </c>
      <c r="E946" s="1" t="s">
        <v>50</v>
      </c>
      <c r="F946" s="1" t="s">
        <v>71</v>
      </c>
      <c r="G946" s="1" t="s">
        <v>20</v>
      </c>
      <c r="H946" s="1" t="s">
        <v>23</v>
      </c>
      <c r="I946" s="1">
        <v>10</v>
      </c>
      <c r="J946" s="1">
        <v>180</v>
      </c>
      <c r="K946" s="1">
        <v>7.0000000000000007E-2</v>
      </c>
      <c r="L946" s="1">
        <v>1800</v>
      </c>
      <c r="M946" s="1">
        <v>1674</v>
      </c>
      <c r="N946" s="1">
        <v>1966.41</v>
      </c>
      <c r="O946" s="1">
        <v>0.85</v>
      </c>
      <c r="P946" s="2" t="s">
        <v>52</v>
      </c>
      <c r="Q946" s="13" t="s">
        <v>26</v>
      </c>
    </row>
    <row r="947" spans="1:17" x14ac:dyDescent="0.45">
      <c r="A947" s="10">
        <v>46084</v>
      </c>
      <c r="B947" s="1" t="s">
        <v>1018</v>
      </c>
      <c r="C947" s="1" t="s">
        <v>54</v>
      </c>
      <c r="D947" s="1" t="s">
        <v>21</v>
      </c>
      <c r="E947" s="1" t="s">
        <v>80</v>
      </c>
      <c r="F947" s="1" t="s">
        <v>51</v>
      </c>
      <c r="G947" s="1" t="s">
        <v>24</v>
      </c>
      <c r="H947" s="1" t="s">
        <v>35</v>
      </c>
      <c r="I947" s="1">
        <v>125</v>
      </c>
      <c r="J947" s="1">
        <v>30</v>
      </c>
      <c r="K947" s="1">
        <v>0.08</v>
      </c>
      <c r="L947" s="1">
        <v>3750</v>
      </c>
      <c r="M947" s="1">
        <v>3450</v>
      </c>
      <c r="N947" s="1">
        <v>3481.8</v>
      </c>
      <c r="O947" s="1">
        <v>0.99</v>
      </c>
      <c r="P947" s="2" t="s">
        <v>52</v>
      </c>
      <c r="Q947" s="14" t="s">
        <v>26</v>
      </c>
    </row>
    <row r="948" spans="1:17" x14ac:dyDescent="0.45">
      <c r="A948" s="10">
        <v>46141</v>
      </c>
      <c r="B948" s="1" t="s">
        <v>1019</v>
      </c>
      <c r="C948" s="1" t="s">
        <v>67</v>
      </c>
      <c r="D948" s="1" t="s">
        <v>25</v>
      </c>
      <c r="E948" s="1" t="s">
        <v>104</v>
      </c>
      <c r="F948" s="1" t="s">
        <v>95</v>
      </c>
      <c r="G948" s="1" t="s">
        <v>24</v>
      </c>
      <c r="H948" s="1" t="s">
        <v>30</v>
      </c>
      <c r="I948" s="1">
        <v>157</v>
      </c>
      <c r="J948" s="1">
        <v>40</v>
      </c>
      <c r="K948" s="1">
        <v>0.1</v>
      </c>
      <c r="L948" s="1">
        <v>6280</v>
      </c>
      <c r="M948" s="1">
        <v>5652</v>
      </c>
      <c r="N948" s="1">
        <v>4650.18</v>
      </c>
      <c r="O948" s="1">
        <v>1.22</v>
      </c>
      <c r="P948" s="2" t="s">
        <v>73</v>
      </c>
      <c r="Q948" s="13" t="s">
        <v>29</v>
      </c>
    </row>
    <row r="949" spans="1:17" x14ac:dyDescent="0.45">
      <c r="A949" s="10">
        <v>46047</v>
      </c>
      <c r="B949" s="1" t="s">
        <v>1020</v>
      </c>
      <c r="C949" s="1" t="s">
        <v>49</v>
      </c>
      <c r="D949" s="1" t="s">
        <v>28</v>
      </c>
      <c r="E949" s="1" t="s">
        <v>82</v>
      </c>
      <c r="F949" s="1" t="s">
        <v>56</v>
      </c>
      <c r="G949" s="1" t="s">
        <v>24</v>
      </c>
      <c r="H949" s="1" t="s">
        <v>30</v>
      </c>
      <c r="I949" s="1">
        <v>98</v>
      </c>
      <c r="J949" s="1">
        <v>40</v>
      </c>
      <c r="K949" s="1">
        <v>0.01</v>
      </c>
      <c r="L949" s="1">
        <v>3920</v>
      </c>
      <c r="M949" s="1">
        <v>3880.8</v>
      </c>
      <c r="N949" s="1">
        <v>3757.29</v>
      </c>
      <c r="O949" s="1">
        <v>1.03</v>
      </c>
      <c r="P949" s="2" t="s">
        <v>52</v>
      </c>
      <c r="Q949" s="14" t="s">
        <v>16</v>
      </c>
    </row>
    <row r="950" spans="1:17" x14ac:dyDescent="0.45">
      <c r="A950" s="10">
        <v>46195</v>
      </c>
      <c r="B950" s="1" t="s">
        <v>1021</v>
      </c>
      <c r="C950" s="1" t="s">
        <v>75</v>
      </c>
      <c r="D950" s="1" t="s">
        <v>28</v>
      </c>
      <c r="E950" s="1" t="s">
        <v>59</v>
      </c>
      <c r="F950" s="1" t="s">
        <v>95</v>
      </c>
      <c r="G950" s="1" t="s">
        <v>14</v>
      </c>
      <c r="H950" s="1" t="s">
        <v>27</v>
      </c>
      <c r="I950" s="1">
        <v>133</v>
      </c>
      <c r="J950" s="1">
        <v>120</v>
      </c>
      <c r="K950" s="1">
        <v>0.1</v>
      </c>
      <c r="L950" s="1">
        <v>15960</v>
      </c>
      <c r="M950" s="1">
        <v>14364</v>
      </c>
      <c r="N950" s="1">
        <v>14811.58</v>
      </c>
      <c r="O950" s="1">
        <v>0.97</v>
      </c>
      <c r="P950" s="2" t="s">
        <v>52</v>
      </c>
      <c r="Q950" s="13" t="s">
        <v>34</v>
      </c>
    </row>
    <row r="951" spans="1:17" x14ac:dyDescent="0.45">
      <c r="A951" s="10">
        <v>46102</v>
      </c>
      <c r="B951" s="1" t="s">
        <v>1022</v>
      </c>
      <c r="C951" s="1" t="s">
        <v>58</v>
      </c>
      <c r="D951" s="1" t="s">
        <v>21</v>
      </c>
      <c r="E951" s="1" t="s">
        <v>80</v>
      </c>
      <c r="F951" s="1" t="s">
        <v>71</v>
      </c>
      <c r="G951" s="1" t="s">
        <v>20</v>
      </c>
      <c r="H951" s="1" t="s">
        <v>23</v>
      </c>
      <c r="I951" s="1">
        <v>111</v>
      </c>
      <c r="J951" s="1">
        <v>180</v>
      </c>
      <c r="K951" s="1">
        <v>0.06</v>
      </c>
      <c r="L951" s="1">
        <v>19980</v>
      </c>
      <c r="M951" s="1">
        <v>18781.2</v>
      </c>
      <c r="N951" s="1">
        <v>15837.63</v>
      </c>
      <c r="O951" s="1">
        <v>1.19</v>
      </c>
      <c r="P951" s="2" t="s">
        <v>73</v>
      </c>
      <c r="Q951" s="14" t="s">
        <v>26</v>
      </c>
    </row>
    <row r="952" spans="1:17" x14ac:dyDescent="0.45">
      <c r="A952" s="10">
        <v>46174</v>
      </c>
      <c r="B952" s="1" t="s">
        <v>1023</v>
      </c>
      <c r="C952" s="1" t="s">
        <v>64</v>
      </c>
      <c r="D952" s="1" t="s">
        <v>25</v>
      </c>
      <c r="E952" s="1" t="s">
        <v>104</v>
      </c>
      <c r="F952" s="1" t="s">
        <v>60</v>
      </c>
      <c r="G952" s="1" t="s">
        <v>24</v>
      </c>
      <c r="H952" s="1" t="s">
        <v>35</v>
      </c>
      <c r="I952" s="1">
        <v>95</v>
      </c>
      <c r="J952" s="1">
        <v>30</v>
      </c>
      <c r="K952" s="1">
        <v>0.05</v>
      </c>
      <c r="L952" s="1">
        <v>2850</v>
      </c>
      <c r="M952" s="1">
        <v>2707.5</v>
      </c>
      <c r="N952" s="1">
        <v>2356.71</v>
      </c>
      <c r="O952" s="1">
        <v>1.1499999999999999</v>
      </c>
      <c r="P952" s="2" t="s">
        <v>52</v>
      </c>
      <c r="Q952" s="13" t="s">
        <v>34</v>
      </c>
    </row>
    <row r="953" spans="1:17" x14ac:dyDescent="0.45">
      <c r="A953" s="10">
        <v>46126</v>
      </c>
      <c r="B953" s="1" t="s">
        <v>1024</v>
      </c>
      <c r="C953" s="1" t="s">
        <v>54</v>
      </c>
      <c r="D953" s="1" t="s">
        <v>28</v>
      </c>
      <c r="E953" s="1" t="s">
        <v>65</v>
      </c>
      <c r="F953" s="1" t="s">
        <v>78</v>
      </c>
      <c r="G953" s="1" t="s">
        <v>24</v>
      </c>
      <c r="H953" s="1" t="s">
        <v>30</v>
      </c>
      <c r="I953" s="1">
        <v>149</v>
      </c>
      <c r="J953" s="1">
        <v>40</v>
      </c>
      <c r="K953" s="1">
        <v>0.03</v>
      </c>
      <c r="L953" s="1">
        <v>5960</v>
      </c>
      <c r="M953" s="1">
        <v>5781.2</v>
      </c>
      <c r="N953" s="1">
        <v>6904.38</v>
      </c>
      <c r="O953" s="1">
        <v>0.84</v>
      </c>
      <c r="P953" s="2" t="s">
        <v>52</v>
      </c>
      <c r="Q953" s="14" t="s">
        <v>29</v>
      </c>
    </row>
    <row r="954" spans="1:17" x14ac:dyDescent="0.45">
      <c r="A954" s="10">
        <v>46117</v>
      </c>
      <c r="B954" s="1" t="s">
        <v>1025</v>
      </c>
      <c r="C954" s="1" t="s">
        <v>54</v>
      </c>
      <c r="D954" s="1" t="s">
        <v>25</v>
      </c>
      <c r="E954" s="1" t="s">
        <v>104</v>
      </c>
      <c r="F954" s="1" t="s">
        <v>78</v>
      </c>
      <c r="G954" s="1" t="s">
        <v>20</v>
      </c>
      <c r="H954" s="1" t="s">
        <v>33</v>
      </c>
      <c r="I954" s="1">
        <v>144</v>
      </c>
      <c r="J954" s="1">
        <v>35</v>
      </c>
      <c r="K954" s="1">
        <v>0.11</v>
      </c>
      <c r="L954" s="1">
        <v>5040</v>
      </c>
      <c r="M954" s="1">
        <v>4485.6000000000004</v>
      </c>
      <c r="N954" s="1">
        <v>4490.72</v>
      </c>
      <c r="O954" s="1">
        <v>1</v>
      </c>
      <c r="P954" s="2" t="s">
        <v>52</v>
      </c>
      <c r="Q954" s="13" t="s">
        <v>29</v>
      </c>
    </row>
    <row r="955" spans="1:17" x14ac:dyDescent="0.45">
      <c r="A955" s="10">
        <v>46031</v>
      </c>
      <c r="B955" s="1" t="s">
        <v>1026</v>
      </c>
      <c r="C955" s="1" t="s">
        <v>67</v>
      </c>
      <c r="D955" s="1" t="s">
        <v>15</v>
      </c>
      <c r="E955" s="1" t="s">
        <v>62</v>
      </c>
      <c r="F955" s="1" t="s">
        <v>71</v>
      </c>
      <c r="G955" s="1" t="s">
        <v>20</v>
      </c>
      <c r="H955" s="1" t="s">
        <v>23</v>
      </c>
      <c r="I955" s="1">
        <v>48</v>
      </c>
      <c r="J955" s="1">
        <v>180</v>
      </c>
      <c r="K955" s="1">
        <v>0.06</v>
      </c>
      <c r="L955" s="1">
        <v>8640</v>
      </c>
      <c r="M955" s="1">
        <v>8121.6</v>
      </c>
      <c r="N955" s="1">
        <v>6826.78</v>
      </c>
      <c r="O955" s="1">
        <v>1.19</v>
      </c>
      <c r="P955" s="2" t="s">
        <v>52</v>
      </c>
      <c r="Q955" s="14" t="s">
        <v>16</v>
      </c>
    </row>
    <row r="956" spans="1:17" x14ac:dyDescent="0.45">
      <c r="A956" s="10">
        <v>46112</v>
      </c>
      <c r="B956" s="1" t="s">
        <v>1027</v>
      </c>
      <c r="C956" s="1" t="s">
        <v>75</v>
      </c>
      <c r="D956" s="1" t="s">
        <v>21</v>
      </c>
      <c r="E956" s="1" t="s">
        <v>80</v>
      </c>
      <c r="F956" s="1" t="s">
        <v>60</v>
      </c>
      <c r="G956" s="1" t="s">
        <v>24</v>
      </c>
      <c r="H956" s="1" t="s">
        <v>35</v>
      </c>
      <c r="I956" s="1">
        <v>98</v>
      </c>
      <c r="J956" s="1">
        <v>30</v>
      </c>
      <c r="K956" s="1">
        <v>0.13</v>
      </c>
      <c r="L956" s="1">
        <v>2940</v>
      </c>
      <c r="M956" s="1">
        <v>2557.8000000000002</v>
      </c>
      <c r="N956" s="1">
        <v>2494.54</v>
      </c>
      <c r="O956" s="1">
        <v>1.03</v>
      </c>
      <c r="P956" s="2" t="s">
        <v>52</v>
      </c>
      <c r="Q956" s="13" t="s">
        <v>26</v>
      </c>
    </row>
    <row r="957" spans="1:17" x14ac:dyDescent="0.45">
      <c r="A957" s="10">
        <v>46152</v>
      </c>
      <c r="B957" s="1" t="s">
        <v>1028</v>
      </c>
      <c r="C957" s="1" t="s">
        <v>64</v>
      </c>
      <c r="D957" s="1" t="s">
        <v>25</v>
      </c>
      <c r="E957" s="1" t="s">
        <v>68</v>
      </c>
      <c r="F957" s="1" t="s">
        <v>71</v>
      </c>
      <c r="G957" s="1" t="s">
        <v>20</v>
      </c>
      <c r="H957" s="1" t="s">
        <v>33</v>
      </c>
      <c r="I957" s="1">
        <v>156</v>
      </c>
      <c r="J957" s="1">
        <v>35</v>
      </c>
      <c r="K957" s="1">
        <v>0.04</v>
      </c>
      <c r="L957" s="1">
        <v>5460</v>
      </c>
      <c r="M957" s="1">
        <v>5241.6000000000004</v>
      </c>
      <c r="N957" s="1">
        <v>5351.68</v>
      </c>
      <c r="O957" s="1">
        <v>0.98</v>
      </c>
      <c r="P957" s="2" t="s">
        <v>52</v>
      </c>
      <c r="Q957" s="14" t="s">
        <v>32</v>
      </c>
    </row>
    <row r="958" spans="1:17" x14ac:dyDescent="0.45">
      <c r="A958" s="10">
        <v>46107</v>
      </c>
      <c r="B958" s="1" t="s">
        <v>1029</v>
      </c>
      <c r="C958" s="1" t="s">
        <v>64</v>
      </c>
      <c r="D958" s="1" t="s">
        <v>28</v>
      </c>
      <c r="E958" s="1" t="s">
        <v>65</v>
      </c>
      <c r="F958" s="1" t="s">
        <v>95</v>
      </c>
      <c r="G958" s="1" t="s">
        <v>20</v>
      </c>
      <c r="H958" s="1" t="s">
        <v>33</v>
      </c>
      <c r="I958" s="1">
        <v>32</v>
      </c>
      <c r="J958" s="1">
        <v>35</v>
      </c>
      <c r="K958" s="1">
        <v>0.14000000000000001</v>
      </c>
      <c r="L958" s="1">
        <v>1120</v>
      </c>
      <c r="M958" s="1">
        <v>963.2</v>
      </c>
      <c r="N958" s="1">
        <v>947.66</v>
      </c>
      <c r="O958" s="1">
        <v>1.02</v>
      </c>
      <c r="P958" s="2" t="s">
        <v>73</v>
      </c>
      <c r="Q958" s="13" t="s">
        <v>26</v>
      </c>
    </row>
    <row r="959" spans="1:17" x14ac:dyDescent="0.45">
      <c r="A959" s="10">
        <v>46087</v>
      </c>
      <c r="B959" s="1" t="s">
        <v>1030</v>
      </c>
      <c r="C959" s="1" t="s">
        <v>49</v>
      </c>
      <c r="D959" s="1" t="s">
        <v>28</v>
      </c>
      <c r="E959" s="1" t="s">
        <v>59</v>
      </c>
      <c r="F959" s="1" t="s">
        <v>71</v>
      </c>
      <c r="G959" s="1" t="s">
        <v>20</v>
      </c>
      <c r="H959" s="1" t="s">
        <v>33</v>
      </c>
      <c r="I959" s="1">
        <v>84</v>
      </c>
      <c r="J959" s="1">
        <v>35</v>
      </c>
      <c r="K959" s="1">
        <v>0.15</v>
      </c>
      <c r="L959" s="1">
        <v>2940</v>
      </c>
      <c r="M959" s="1">
        <v>2499</v>
      </c>
      <c r="N959" s="1">
        <v>2667.6</v>
      </c>
      <c r="O959" s="1">
        <v>0.94</v>
      </c>
      <c r="P959" s="2" t="s">
        <v>52</v>
      </c>
      <c r="Q959" s="14" t="s">
        <v>26</v>
      </c>
    </row>
    <row r="960" spans="1:17" x14ac:dyDescent="0.45">
      <c r="A960" s="10">
        <v>46189</v>
      </c>
      <c r="B960" s="1" t="s">
        <v>1031</v>
      </c>
      <c r="C960" s="1" t="s">
        <v>67</v>
      </c>
      <c r="D960" s="1" t="s">
        <v>28</v>
      </c>
      <c r="E960" s="1" t="s">
        <v>59</v>
      </c>
      <c r="F960" s="1" t="s">
        <v>56</v>
      </c>
      <c r="G960" s="1" t="s">
        <v>24</v>
      </c>
      <c r="H960" s="1" t="s">
        <v>35</v>
      </c>
      <c r="I960" s="1">
        <v>174</v>
      </c>
      <c r="J960" s="1">
        <v>30</v>
      </c>
      <c r="K960" s="1">
        <v>0.13</v>
      </c>
      <c r="L960" s="1">
        <v>5220</v>
      </c>
      <c r="M960" s="1">
        <v>4541.3999999999996</v>
      </c>
      <c r="N960" s="1">
        <v>4986.05</v>
      </c>
      <c r="O960" s="1">
        <v>0.91</v>
      </c>
      <c r="P960" s="2" t="s">
        <v>52</v>
      </c>
      <c r="Q960" s="13" t="s">
        <v>34</v>
      </c>
    </row>
    <row r="961" spans="1:17" x14ac:dyDescent="0.45">
      <c r="A961" s="10">
        <v>46035</v>
      </c>
      <c r="B961" s="1" t="s">
        <v>1032</v>
      </c>
      <c r="C961" s="1" t="s">
        <v>49</v>
      </c>
      <c r="D961" s="1" t="s">
        <v>25</v>
      </c>
      <c r="E961" s="1" t="s">
        <v>98</v>
      </c>
      <c r="F961" s="1" t="s">
        <v>60</v>
      </c>
      <c r="G961" s="1" t="s">
        <v>24</v>
      </c>
      <c r="H961" s="1" t="s">
        <v>35</v>
      </c>
      <c r="I961" s="1">
        <v>83</v>
      </c>
      <c r="J961" s="1">
        <v>30</v>
      </c>
      <c r="K961" s="1">
        <v>0.1</v>
      </c>
      <c r="L961" s="1">
        <v>2490</v>
      </c>
      <c r="M961" s="1">
        <v>2241</v>
      </c>
      <c r="N961" s="1">
        <v>2331.77</v>
      </c>
      <c r="O961" s="1">
        <v>0.96</v>
      </c>
      <c r="P961" s="2" t="s">
        <v>52</v>
      </c>
      <c r="Q961" s="14" t="s">
        <v>16</v>
      </c>
    </row>
    <row r="962" spans="1:17" x14ac:dyDescent="0.45">
      <c r="A962" s="10">
        <v>46124</v>
      </c>
      <c r="B962" s="1" t="s">
        <v>1033</v>
      </c>
      <c r="C962" s="1" t="s">
        <v>67</v>
      </c>
      <c r="D962" s="1" t="s">
        <v>25</v>
      </c>
      <c r="E962" s="1" t="s">
        <v>104</v>
      </c>
      <c r="F962" s="1" t="s">
        <v>51</v>
      </c>
      <c r="G962" s="1" t="s">
        <v>20</v>
      </c>
      <c r="H962" s="1" t="s">
        <v>33</v>
      </c>
      <c r="I962" s="1">
        <v>54</v>
      </c>
      <c r="J962" s="1">
        <v>35</v>
      </c>
      <c r="K962" s="1">
        <v>0.09</v>
      </c>
      <c r="L962" s="1">
        <v>1890</v>
      </c>
      <c r="M962" s="1">
        <v>1719.9</v>
      </c>
      <c r="N962" s="1">
        <v>1636.47</v>
      </c>
      <c r="O962" s="1">
        <v>1.05</v>
      </c>
      <c r="P962" s="2" t="s">
        <v>73</v>
      </c>
      <c r="Q962" s="13" t="s">
        <v>29</v>
      </c>
    </row>
    <row r="963" spans="1:17" x14ac:dyDescent="0.45">
      <c r="A963" s="10">
        <v>46039</v>
      </c>
      <c r="B963" s="1" t="s">
        <v>1034</v>
      </c>
      <c r="C963" s="1" t="s">
        <v>58</v>
      </c>
      <c r="D963" s="1" t="s">
        <v>25</v>
      </c>
      <c r="E963" s="1" t="s">
        <v>104</v>
      </c>
      <c r="F963" s="1" t="s">
        <v>56</v>
      </c>
      <c r="G963" s="1" t="s">
        <v>14</v>
      </c>
      <c r="H963" s="1" t="s">
        <v>18</v>
      </c>
      <c r="I963" s="1">
        <v>75</v>
      </c>
      <c r="J963" s="1">
        <v>250</v>
      </c>
      <c r="K963" s="1">
        <v>7.0000000000000007E-2</v>
      </c>
      <c r="L963" s="1">
        <v>18750</v>
      </c>
      <c r="M963" s="1">
        <v>17437.5</v>
      </c>
      <c r="N963" s="1">
        <v>19100.8</v>
      </c>
      <c r="O963" s="1">
        <v>0.91</v>
      </c>
      <c r="P963" s="2" t="s">
        <v>52</v>
      </c>
      <c r="Q963" s="14" t="s">
        <v>16</v>
      </c>
    </row>
    <row r="964" spans="1:17" x14ac:dyDescent="0.45">
      <c r="A964" s="10">
        <v>46109</v>
      </c>
      <c r="B964" s="1" t="s">
        <v>1035</v>
      </c>
      <c r="C964" s="1" t="s">
        <v>67</v>
      </c>
      <c r="D964" s="1" t="s">
        <v>28</v>
      </c>
      <c r="E964" s="1" t="s">
        <v>65</v>
      </c>
      <c r="F964" s="1" t="s">
        <v>78</v>
      </c>
      <c r="G964" s="1" t="s">
        <v>24</v>
      </c>
      <c r="H964" s="1" t="s">
        <v>30</v>
      </c>
      <c r="I964" s="1">
        <v>127</v>
      </c>
      <c r="J964" s="1">
        <v>40</v>
      </c>
      <c r="K964" s="1">
        <v>0.14000000000000001</v>
      </c>
      <c r="L964" s="1">
        <v>5080</v>
      </c>
      <c r="M964" s="1">
        <v>4368.8</v>
      </c>
      <c r="N964" s="1">
        <v>4699</v>
      </c>
      <c r="O964" s="1">
        <v>0.93</v>
      </c>
      <c r="P964" s="2" t="s">
        <v>52</v>
      </c>
      <c r="Q964" s="13" t="s">
        <v>26</v>
      </c>
    </row>
    <row r="965" spans="1:17" x14ac:dyDescent="0.45">
      <c r="A965" s="10">
        <v>46025</v>
      </c>
      <c r="B965" s="1" t="s">
        <v>1036</v>
      </c>
      <c r="C965" s="1" t="s">
        <v>54</v>
      </c>
      <c r="D965" s="1" t="s">
        <v>28</v>
      </c>
      <c r="E965" s="1" t="s">
        <v>70</v>
      </c>
      <c r="F965" s="1" t="s">
        <v>60</v>
      </c>
      <c r="G965" s="1" t="s">
        <v>20</v>
      </c>
      <c r="H965" s="1" t="s">
        <v>23</v>
      </c>
      <c r="I965" s="1">
        <v>148</v>
      </c>
      <c r="J965" s="1">
        <v>180</v>
      </c>
      <c r="K965" s="1">
        <v>0.11</v>
      </c>
      <c r="L965" s="1">
        <v>26640</v>
      </c>
      <c r="M965" s="1">
        <v>23709.599999999999</v>
      </c>
      <c r="N965" s="1">
        <v>24091.62</v>
      </c>
      <c r="O965" s="1">
        <v>0.98</v>
      </c>
      <c r="P965" s="2" t="s">
        <v>73</v>
      </c>
      <c r="Q965" s="14" t="s">
        <v>16</v>
      </c>
    </row>
    <row r="966" spans="1:17" x14ac:dyDescent="0.45">
      <c r="A966" s="10">
        <v>46165</v>
      </c>
      <c r="B966" s="1" t="s">
        <v>1037</v>
      </c>
      <c r="C966" s="1" t="s">
        <v>75</v>
      </c>
      <c r="D966" s="1" t="s">
        <v>25</v>
      </c>
      <c r="E966" s="1" t="s">
        <v>68</v>
      </c>
      <c r="F966" s="1" t="s">
        <v>56</v>
      </c>
      <c r="G966" s="1" t="s">
        <v>20</v>
      </c>
      <c r="H966" s="1" t="s">
        <v>33</v>
      </c>
      <c r="I966" s="1">
        <v>117</v>
      </c>
      <c r="J966" s="1">
        <v>35</v>
      </c>
      <c r="K966" s="1">
        <v>0.03</v>
      </c>
      <c r="L966" s="1">
        <v>4095</v>
      </c>
      <c r="M966" s="1">
        <v>3972.15</v>
      </c>
      <c r="N966" s="1">
        <v>4012.86</v>
      </c>
      <c r="O966" s="1">
        <v>0.99</v>
      </c>
      <c r="P966" s="2" t="s">
        <v>73</v>
      </c>
      <c r="Q966" s="13" t="s">
        <v>32</v>
      </c>
    </row>
    <row r="967" spans="1:17" x14ac:dyDescent="0.45">
      <c r="A967" s="10">
        <v>46145</v>
      </c>
      <c r="B967" s="1" t="s">
        <v>1038</v>
      </c>
      <c r="C967" s="1" t="s">
        <v>54</v>
      </c>
      <c r="D967" s="1" t="s">
        <v>25</v>
      </c>
      <c r="E967" s="1" t="s">
        <v>98</v>
      </c>
      <c r="F967" s="1" t="s">
        <v>95</v>
      </c>
      <c r="G967" s="1" t="s">
        <v>14</v>
      </c>
      <c r="H967" s="1" t="s">
        <v>27</v>
      </c>
      <c r="I967" s="1">
        <v>83</v>
      </c>
      <c r="J967" s="1">
        <v>120</v>
      </c>
      <c r="K967" s="1">
        <v>0.08</v>
      </c>
      <c r="L967" s="1">
        <v>9960</v>
      </c>
      <c r="M967" s="1">
        <v>9163.2000000000007</v>
      </c>
      <c r="N967" s="1">
        <v>10539.47</v>
      </c>
      <c r="O967" s="1">
        <v>0.87</v>
      </c>
      <c r="P967" s="2" t="s">
        <v>73</v>
      </c>
      <c r="Q967" s="14" t="s">
        <v>32</v>
      </c>
    </row>
    <row r="968" spans="1:17" x14ac:dyDescent="0.45">
      <c r="A968" s="10">
        <v>46090</v>
      </c>
      <c r="B968" s="1" t="s">
        <v>1039</v>
      </c>
      <c r="C968" s="1" t="s">
        <v>49</v>
      </c>
      <c r="D968" s="1" t="s">
        <v>15</v>
      </c>
      <c r="E968" s="1" t="s">
        <v>55</v>
      </c>
      <c r="F968" s="1" t="s">
        <v>95</v>
      </c>
      <c r="G968" s="1" t="s">
        <v>14</v>
      </c>
      <c r="H968" s="1" t="s">
        <v>18</v>
      </c>
      <c r="I968" s="1">
        <v>193</v>
      </c>
      <c r="J968" s="1">
        <v>250</v>
      </c>
      <c r="K968" s="1">
        <v>0.1</v>
      </c>
      <c r="L968" s="1">
        <v>48250</v>
      </c>
      <c r="M968" s="1">
        <v>43425</v>
      </c>
      <c r="N968" s="1">
        <v>46641.49</v>
      </c>
      <c r="O968" s="1">
        <v>0.93</v>
      </c>
      <c r="P968" s="2" t="s">
        <v>52</v>
      </c>
      <c r="Q968" s="13" t="s">
        <v>26</v>
      </c>
    </row>
    <row r="969" spans="1:17" x14ac:dyDescent="0.45">
      <c r="A969" s="10">
        <v>46151</v>
      </c>
      <c r="B969" s="1" t="s">
        <v>1040</v>
      </c>
      <c r="C969" s="1" t="s">
        <v>67</v>
      </c>
      <c r="D969" s="1" t="s">
        <v>15</v>
      </c>
      <c r="E969" s="1" t="s">
        <v>62</v>
      </c>
      <c r="F969" s="1" t="s">
        <v>51</v>
      </c>
      <c r="G969" s="1" t="s">
        <v>20</v>
      </c>
      <c r="H969" s="1" t="s">
        <v>23</v>
      </c>
      <c r="I969" s="1">
        <v>133</v>
      </c>
      <c r="J969" s="1">
        <v>180</v>
      </c>
      <c r="K969" s="1">
        <v>0.13</v>
      </c>
      <c r="L969" s="1">
        <v>23940</v>
      </c>
      <c r="M969" s="1">
        <v>20827.8</v>
      </c>
      <c r="N969" s="1">
        <v>21117.7</v>
      </c>
      <c r="O969" s="1">
        <v>0.99</v>
      </c>
      <c r="P969" s="2" t="s">
        <v>73</v>
      </c>
      <c r="Q969" s="14" t="s">
        <v>32</v>
      </c>
    </row>
    <row r="970" spans="1:17" x14ac:dyDescent="0.45">
      <c r="A970" s="10">
        <v>46102</v>
      </c>
      <c r="B970" s="1" t="s">
        <v>1041</v>
      </c>
      <c r="C970" s="1" t="s">
        <v>64</v>
      </c>
      <c r="D970" s="1" t="s">
        <v>28</v>
      </c>
      <c r="E970" s="1" t="s">
        <v>59</v>
      </c>
      <c r="F970" s="1" t="s">
        <v>71</v>
      </c>
      <c r="G970" s="1" t="s">
        <v>24</v>
      </c>
      <c r="H970" s="1" t="s">
        <v>35</v>
      </c>
      <c r="I970" s="1">
        <v>111</v>
      </c>
      <c r="J970" s="1">
        <v>30</v>
      </c>
      <c r="K970" s="1">
        <v>0.02</v>
      </c>
      <c r="L970" s="1">
        <v>3330</v>
      </c>
      <c r="M970" s="1">
        <v>3263.4</v>
      </c>
      <c r="N970" s="1">
        <v>3325.34</v>
      </c>
      <c r="O970" s="1">
        <v>0.98</v>
      </c>
      <c r="P970" s="2" t="s">
        <v>73</v>
      </c>
      <c r="Q970" s="13" t="s">
        <v>26</v>
      </c>
    </row>
    <row r="971" spans="1:17" x14ac:dyDescent="0.45">
      <c r="A971" s="10">
        <v>46066</v>
      </c>
      <c r="B971" s="1" t="s">
        <v>1042</v>
      </c>
      <c r="C971" s="1" t="s">
        <v>75</v>
      </c>
      <c r="D971" s="1" t="s">
        <v>21</v>
      </c>
      <c r="E971" s="1" t="s">
        <v>80</v>
      </c>
      <c r="F971" s="1" t="s">
        <v>78</v>
      </c>
      <c r="G971" s="1" t="s">
        <v>20</v>
      </c>
      <c r="H971" s="1" t="s">
        <v>23</v>
      </c>
      <c r="I971" s="1">
        <v>12</v>
      </c>
      <c r="J971" s="1">
        <v>180</v>
      </c>
      <c r="K971" s="1">
        <v>0.08</v>
      </c>
      <c r="L971" s="1">
        <v>2160</v>
      </c>
      <c r="M971" s="1">
        <v>1987.2</v>
      </c>
      <c r="N971" s="1">
        <v>2000.05</v>
      </c>
      <c r="O971" s="1">
        <v>0.99</v>
      </c>
      <c r="P971" s="2" t="s">
        <v>52</v>
      </c>
      <c r="Q971" s="14" t="s">
        <v>22</v>
      </c>
    </row>
    <row r="972" spans="1:17" x14ac:dyDescent="0.45">
      <c r="A972" s="10">
        <v>46106</v>
      </c>
      <c r="B972" s="1" t="s">
        <v>1043</v>
      </c>
      <c r="C972" s="1" t="s">
        <v>58</v>
      </c>
      <c r="D972" s="1" t="s">
        <v>15</v>
      </c>
      <c r="E972" s="1" t="s">
        <v>62</v>
      </c>
      <c r="F972" s="1" t="s">
        <v>78</v>
      </c>
      <c r="G972" s="1" t="s">
        <v>24</v>
      </c>
      <c r="H972" s="1" t="s">
        <v>35</v>
      </c>
      <c r="I972" s="1">
        <v>65</v>
      </c>
      <c r="J972" s="1">
        <v>30</v>
      </c>
      <c r="K972" s="1">
        <v>0.04</v>
      </c>
      <c r="L972" s="1">
        <v>1950</v>
      </c>
      <c r="M972" s="1">
        <v>1872</v>
      </c>
      <c r="N972" s="1">
        <v>1858.12</v>
      </c>
      <c r="O972" s="1">
        <v>1.01</v>
      </c>
      <c r="P972" s="2" t="s">
        <v>52</v>
      </c>
      <c r="Q972" s="13" t="s">
        <v>26</v>
      </c>
    </row>
    <row r="973" spans="1:17" x14ac:dyDescent="0.45">
      <c r="A973" s="10">
        <v>46121</v>
      </c>
      <c r="B973" s="1" t="s">
        <v>1044</v>
      </c>
      <c r="C973" s="1" t="s">
        <v>49</v>
      </c>
      <c r="D973" s="1" t="s">
        <v>28</v>
      </c>
      <c r="E973" s="1" t="s">
        <v>65</v>
      </c>
      <c r="F973" s="1" t="s">
        <v>60</v>
      </c>
      <c r="G973" s="1" t="s">
        <v>14</v>
      </c>
      <c r="H973" s="1" t="s">
        <v>18</v>
      </c>
      <c r="I973" s="1">
        <v>78</v>
      </c>
      <c r="J973" s="1">
        <v>250</v>
      </c>
      <c r="K973" s="1">
        <v>0.08</v>
      </c>
      <c r="L973" s="1">
        <v>19500</v>
      </c>
      <c r="M973" s="1">
        <v>17940</v>
      </c>
      <c r="N973" s="1">
        <v>14786.94</v>
      </c>
      <c r="O973" s="1">
        <v>1.21</v>
      </c>
      <c r="P973" s="2" t="s">
        <v>73</v>
      </c>
      <c r="Q973" s="14" t="s">
        <v>29</v>
      </c>
    </row>
    <row r="974" spans="1:17" x14ac:dyDescent="0.45">
      <c r="A974" s="10">
        <v>46164</v>
      </c>
      <c r="B974" s="1" t="s">
        <v>1045</v>
      </c>
      <c r="C974" s="1" t="s">
        <v>75</v>
      </c>
      <c r="D974" s="1" t="s">
        <v>21</v>
      </c>
      <c r="E974" s="1" t="s">
        <v>80</v>
      </c>
      <c r="F974" s="1" t="s">
        <v>71</v>
      </c>
      <c r="G974" s="1" t="s">
        <v>14</v>
      </c>
      <c r="H974" s="1" t="s">
        <v>27</v>
      </c>
      <c r="I974" s="1">
        <v>14</v>
      </c>
      <c r="J974" s="1">
        <v>120</v>
      </c>
      <c r="K974" s="1">
        <v>0.13</v>
      </c>
      <c r="L974" s="1">
        <v>1680</v>
      </c>
      <c r="M974" s="1">
        <v>1461.6</v>
      </c>
      <c r="N974" s="1">
        <v>1530.09</v>
      </c>
      <c r="O974" s="1">
        <v>0.96</v>
      </c>
      <c r="P974" s="2" t="s">
        <v>52</v>
      </c>
      <c r="Q974" s="13" t="s">
        <v>32</v>
      </c>
    </row>
    <row r="975" spans="1:17" x14ac:dyDescent="0.45">
      <c r="A975" s="10">
        <v>46029</v>
      </c>
      <c r="B975" s="1" t="s">
        <v>1046</v>
      </c>
      <c r="C975" s="1" t="s">
        <v>64</v>
      </c>
      <c r="D975" s="1" t="s">
        <v>28</v>
      </c>
      <c r="E975" s="1" t="s">
        <v>65</v>
      </c>
      <c r="F975" s="1" t="s">
        <v>56</v>
      </c>
      <c r="G975" s="1" t="s">
        <v>14</v>
      </c>
      <c r="H975" s="1" t="s">
        <v>27</v>
      </c>
      <c r="I975" s="1">
        <v>145</v>
      </c>
      <c r="J975" s="1">
        <v>120</v>
      </c>
      <c r="K975" s="1">
        <v>0.1</v>
      </c>
      <c r="L975" s="1">
        <v>17400</v>
      </c>
      <c r="M975" s="1">
        <v>15660</v>
      </c>
      <c r="N975" s="1">
        <v>12930.65</v>
      </c>
      <c r="O975" s="1">
        <v>1.21</v>
      </c>
      <c r="P975" s="2" t="s">
        <v>52</v>
      </c>
      <c r="Q975" s="14" t="s">
        <v>16</v>
      </c>
    </row>
    <row r="976" spans="1:17" x14ac:dyDescent="0.45">
      <c r="A976" s="10">
        <v>46134</v>
      </c>
      <c r="B976" s="1" t="s">
        <v>1047</v>
      </c>
      <c r="C976" s="1" t="s">
        <v>75</v>
      </c>
      <c r="D976" s="1" t="s">
        <v>15</v>
      </c>
      <c r="E976" s="1" t="s">
        <v>62</v>
      </c>
      <c r="F976" s="1" t="s">
        <v>51</v>
      </c>
      <c r="G976" s="1" t="s">
        <v>24</v>
      </c>
      <c r="H976" s="1" t="s">
        <v>30</v>
      </c>
      <c r="I976" s="1">
        <v>128</v>
      </c>
      <c r="J976" s="1">
        <v>40</v>
      </c>
      <c r="K976" s="1">
        <v>0.13</v>
      </c>
      <c r="L976" s="1">
        <v>5120</v>
      </c>
      <c r="M976" s="1">
        <v>4454.3999999999996</v>
      </c>
      <c r="N976" s="1">
        <v>5069.9799999999996</v>
      </c>
      <c r="O976" s="1">
        <v>0.88</v>
      </c>
      <c r="P976" s="2" t="s">
        <v>73</v>
      </c>
      <c r="Q976" s="13" t="s">
        <v>29</v>
      </c>
    </row>
    <row r="977" spans="1:17" x14ac:dyDescent="0.45">
      <c r="A977" s="10">
        <v>46166</v>
      </c>
      <c r="B977" s="1" t="s">
        <v>1048</v>
      </c>
      <c r="C977" s="1" t="s">
        <v>67</v>
      </c>
      <c r="D977" s="1" t="s">
        <v>25</v>
      </c>
      <c r="E977" s="1" t="s">
        <v>68</v>
      </c>
      <c r="F977" s="1" t="s">
        <v>95</v>
      </c>
      <c r="G977" s="1" t="s">
        <v>20</v>
      </c>
      <c r="H977" s="1" t="s">
        <v>33</v>
      </c>
      <c r="I977" s="1">
        <v>141</v>
      </c>
      <c r="J977" s="1">
        <v>35</v>
      </c>
      <c r="K977" s="1">
        <v>0.12</v>
      </c>
      <c r="L977" s="1">
        <v>4935</v>
      </c>
      <c r="M977" s="1">
        <v>4342.8</v>
      </c>
      <c r="N977" s="1">
        <v>3612.28</v>
      </c>
      <c r="O977" s="1">
        <v>1.2</v>
      </c>
      <c r="P977" s="2" t="s">
        <v>73</v>
      </c>
      <c r="Q977" s="14" t="s">
        <v>32</v>
      </c>
    </row>
    <row r="978" spans="1:17" x14ac:dyDescent="0.45">
      <c r="A978" s="10">
        <v>46196</v>
      </c>
      <c r="B978" s="1" t="s">
        <v>1049</v>
      </c>
      <c r="C978" s="1" t="s">
        <v>58</v>
      </c>
      <c r="D978" s="1" t="s">
        <v>28</v>
      </c>
      <c r="E978" s="1" t="s">
        <v>70</v>
      </c>
      <c r="F978" s="1" t="s">
        <v>95</v>
      </c>
      <c r="G978" s="1" t="s">
        <v>24</v>
      </c>
      <c r="H978" s="1" t="s">
        <v>35</v>
      </c>
      <c r="I978" s="1">
        <v>156</v>
      </c>
      <c r="J978" s="1">
        <v>30</v>
      </c>
      <c r="K978" s="1">
        <v>0.11</v>
      </c>
      <c r="L978" s="1">
        <v>4680</v>
      </c>
      <c r="M978" s="1">
        <v>4165.2</v>
      </c>
      <c r="N978" s="1">
        <v>4462.6899999999996</v>
      </c>
      <c r="O978" s="1">
        <v>0.93</v>
      </c>
      <c r="P978" s="2" t="s">
        <v>52</v>
      </c>
      <c r="Q978" s="13" t="s">
        <v>34</v>
      </c>
    </row>
    <row r="979" spans="1:17" x14ac:dyDescent="0.45">
      <c r="A979" s="10">
        <v>46111</v>
      </c>
      <c r="B979" s="1" t="s">
        <v>1050</v>
      </c>
      <c r="C979" s="1" t="s">
        <v>75</v>
      </c>
      <c r="D979" s="1" t="s">
        <v>28</v>
      </c>
      <c r="E979" s="1" t="s">
        <v>70</v>
      </c>
      <c r="F979" s="1" t="s">
        <v>95</v>
      </c>
      <c r="G979" s="1" t="s">
        <v>24</v>
      </c>
      <c r="H979" s="1" t="s">
        <v>30</v>
      </c>
      <c r="I979" s="1">
        <v>189</v>
      </c>
      <c r="J979" s="1">
        <v>40</v>
      </c>
      <c r="K979" s="1">
        <v>0.02</v>
      </c>
      <c r="L979" s="1">
        <v>7560</v>
      </c>
      <c r="M979" s="1">
        <v>7408.8</v>
      </c>
      <c r="N979" s="1">
        <v>7229.05</v>
      </c>
      <c r="O979" s="1">
        <v>1.02</v>
      </c>
      <c r="P979" s="2" t="s">
        <v>52</v>
      </c>
      <c r="Q979" s="14" t="s">
        <v>26</v>
      </c>
    </row>
    <row r="980" spans="1:17" x14ac:dyDescent="0.45">
      <c r="A980" s="10">
        <v>46200</v>
      </c>
      <c r="B980" s="1" t="s">
        <v>1051</v>
      </c>
      <c r="C980" s="1" t="s">
        <v>67</v>
      </c>
      <c r="D980" s="1" t="s">
        <v>28</v>
      </c>
      <c r="E980" s="1" t="s">
        <v>65</v>
      </c>
      <c r="F980" s="1" t="s">
        <v>95</v>
      </c>
      <c r="G980" s="1" t="s">
        <v>14</v>
      </c>
      <c r="H980" s="1" t="s">
        <v>27</v>
      </c>
      <c r="I980" s="1">
        <v>94</v>
      </c>
      <c r="J980" s="1">
        <v>120</v>
      </c>
      <c r="K980" s="1">
        <v>0.09</v>
      </c>
      <c r="L980" s="1">
        <v>11280</v>
      </c>
      <c r="M980" s="1">
        <v>10264.799999999999</v>
      </c>
      <c r="N980" s="1">
        <v>8299.1</v>
      </c>
      <c r="O980" s="1">
        <v>1.24</v>
      </c>
      <c r="P980" s="2" t="s">
        <v>52</v>
      </c>
      <c r="Q980" s="13" t="s">
        <v>34</v>
      </c>
    </row>
    <row r="981" spans="1:17" x14ac:dyDescent="0.45">
      <c r="A981" s="10">
        <v>46123</v>
      </c>
      <c r="B981" s="1" t="s">
        <v>1052</v>
      </c>
      <c r="C981" s="1" t="s">
        <v>54</v>
      </c>
      <c r="D981" s="1" t="s">
        <v>15</v>
      </c>
      <c r="E981" s="1" t="s">
        <v>55</v>
      </c>
      <c r="F981" s="1" t="s">
        <v>95</v>
      </c>
      <c r="G981" s="1" t="s">
        <v>14</v>
      </c>
      <c r="H981" s="1" t="s">
        <v>18</v>
      </c>
      <c r="I981" s="1">
        <v>144</v>
      </c>
      <c r="J981" s="1">
        <v>250</v>
      </c>
      <c r="K981" s="1">
        <v>0.12</v>
      </c>
      <c r="L981" s="1">
        <v>36000</v>
      </c>
      <c r="M981" s="1">
        <v>31680</v>
      </c>
      <c r="N981" s="1">
        <v>32911.83</v>
      </c>
      <c r="O981" s="1">
        <v>0.96</v>
      </c>
      <c r="P981" s="2" t="s">
        <v>52</v>
      </c>
      <c r="Q981" s="14" t="s">
        <v>29</v>
      </c>
    </row>
    <row r="982" spans="1:17" x14ac:dyDescent="0.45">
      <c r="A982" s="10">
        <v>46104</v>
      </c>
      <c r="B982" s="1" t="s">
        <v>1053</v>
      </c>
      <c r="C982" s="1" t="s">
        <v>67</v>
      </c>
      <c r="D982" s="1" t="s">
        <v>28</v>
      </c>
      <c r="E982" s="1" t="s">
        <v>82</v>
      </c>
      <c r="F982" s="1" t="s">
        <v>78</v>
      </c>
      <c r="G982" s="1" t="s">
        <v>14</v>
      </c>
      <c r="H982" s="1" t="s">
        <v>18</v>
      </c>
      <c r="I982" s="1">
        <v>11</v>
      </c>
      <c r="J982" s="1">
        <v>250</v>
      </c>
      <c r="K982" s="1">
        <v>0.11</v>
      </c>
      <c r="L982" s="1">
        <v>2750</v>
      </c>
      <c r="M982" s="1">
        <v>2447.5</v>
      </c>
      <c r="N982" s="1">
        <v>2236.42</v>
      </c>
      <c r="O982" s="1">
        <v>1.0900000000000001</v>
      </c>
      <c r="P982" s="2" t="s">
        <v>52</v>
      </c>
      <c r="Q982" s="13" t="s">
        <v>26</v>
      </c>
    </row>
    <row r="983" spans="1:17" x14ac:dyDescent="0.45">
      <c r="A983" s="10">
        <v>46194</v>
      </c>
      <c r="B983" s="1" t="s">
        <v>1054</v>
      </c>
      <c r="C983" s="1" t="s">
        <v>64</v>
      </c>
      <c r="D983" s="1" t="s">
        <v>15</v>
      </c>
      <c r="E983" s="1" t="s">
        <v>55</v>
      </c>
      <c r="F983" s="1" t="s">
        <v>60</v>
      </c>
      <c r="G983" s="1" t="s">
        <v>20</v>
      </c>
      <c r="H983" s="1" t="s">
        <v>33</v>
      </c>
      <c r="I983" s="1">
        <v>93</v>
      </c>
      <c r="J983" s="1">
        <v>35</v>
      </c>
      <c r="K983" s="1">
        <v>0.04</v>
      </c>
      <c r="L983" s="1">
        <v>3255</v>
      </c>
      <c r="M983" s="1">
        <v>3124.8</v>
      </c>
      <c r="N983" s="1">
        <v>3601.75</v>
      </c>
      <c r="O983" s="1">
        <v>0.87</v>
      </c>
      <c r="P983" s="2" t="s">
        <v>52</v>
      </c>
      <c r="Q983" s="14" t="s">
        <v>34</v>
      </c>
    </row>
    <row r="984" spans="1:17" x14ac:dyDescent="0.45">
      <c r="A984" s="10">
        <v>46067</v>
      </c>
      <c r="B984" s="1" t="s">
        <v>1055</v>
      </c>
      <c r="C984" s="1" t="s">
        <v>64</v>
      </c>
      <c r="D984" s="1" t="s">
        <v>21</v>
      </c>
      <c r="E984" s="1" t="s">
        <v>50</v>
      </c>
      <c r="F984" s="1" t="s">
        <v>51</v>
      </c>
      <c r="G984" s="1" t="s">
        <v>20</v>
      </c>
      <c r="H984" s="1" t="s">
        <v>33</v>
      </c>
      <c r="I984" s="1">
        <v>131</v>
      </c>
      <c r="J984" s="1">
        <v>35</v>
      </c>
      <c r="K984" s="1">
        <v>0.02</v>
      </c>
      <c r="L984" s="1">
        <v>4585</v>
      </c>
      <c r="M984" s="1">
        <v>4493.3</v>
      </c>
      <c r="N984" s="1">
        <v>3695.49</v>
      </c>
      <c r="O984" s="1">
        <v>1.22</v>
      </c>
      <c r="P984" s="2" t="s">
        <v>52</v>
      </c>
      <c r="Q984" s="13" t="s">
        <v>22</v>
      </c>
    </row>
    <row r="985" spans="1:17" x14ac:dyDescent="0.45">
      <c r="A985" s="10">
        <v>46158</v>
      </c>
      <c r="B985" s="1" t="s">
        <v>1056</v>
      </c>
      <c r="C985" s="1" t="s">
        <v>64</v>
      </c>
      <c r="D985" s="1" t="s">
        <v>28</v>
      </c>
      <c r="E985" s="1" t="s">
        <v>70</v>
      </c>
      <c r="F985" s="1" t="s">
        <v>56</v>
      </c>
      <c r="G985" s="1" t="s">
        <v>14</v>
      </c>
      <c r="H985" s="1" t="s">
        <v>18</v>
      </c>
      <c r="I985" s="1">
        <v>42</v>
      </c>
      <c r="J985" s="1">
        <v>250</v>
      </c>
      <c r="K985" s="1">
        <v>7.0000000000000007E-2</v>
      </c>
      <c r="L985" s="1">
        <v>10500</v>
      </c>
      <c r="M985" s="1">
        <v>9765</v>
      </c>
      <c r="N985" s="1">
        <v>9901.82</v>
      </c>
      <c r="O985" s="1">
        <v>0.99</v>
      </c>
      <c r="P985" s="2" t="s">
        <v>52</v>
      </c>
      <c r="Q985" s="14" t="s">
        <v>32</v>
      </c>
    </row>
    <row r="986" spans="1:17" x14ac:dyDescent="0.45">
      <c r="A986" s="10">
        <v>46105</v>
      </c>
      <c r="B986" s="1" t="s">
        <v>1057</v>
      </c>
      <c r="C986" s="1" t="s">
        <v>75</v>
      </c>
      <c r="D986" s="1" t="s">
        <v>25</v>
      </c>
      <c r="E986" s="1" t="s">
        <v>104</v>
      </c>
      <c r="F986" s="1" t="s">
        <v>56</v>
      </c>
      <c r="G986" s="1" t="s">
        <v>14</v>
      </c>
      <c r="H986" s="1" t="s">
        <v>18</v>
      </c>
      <c r="I986" s="1">
        <v>10</v>
      </c>
      <c r="J986" s="1">
        <v>250</v>
      </c>
      <c r="K986" s="1">
        <v>0.02</v>
      </c>
      <c r="L986" s="1">
        <v>2500</v>
      </c>
      <c r="M986" s="1">
        <v>2450</v>
      </c>
      <c r="N986" s="1">
        <v>2044.84</v>
      </c>
      <c r="O986" s="1">
        <v>1.2</v>
      </c>
      <c r="P986" s="2" t="s">
        <v>73</v>
      </c>
      <c r="Q986" s="13" t="s">
        <v>26</v>
      </c>
    </row>
    <row r="987" spans="1:17" x14ac:dyDescent="0.45">
      <c r="A987" s="10">
        <v>46096</v>
      </c>
      <c r="B987" s="1" t="s">
        <v>1058</v>
      </c>
      <c r="C987" s="1" t="s">
        <v>67</v>
      </c>
      <c r="D987" s="1" t="s">
        <v>21</v>
      </c>
      <c r="E987" s="1" t="s">
        <v>80</v>
      </c>
      <c r="F987" s="1" t="s">
        <v>60</v>
      </c>
      <c r="G987" s="1" t="s">
        <v>14</v>
      </c>
      <c r="H987" s="1" t="s">
        <v>27</v>
      </c>
      <c r="I987" s="1">
        <v>29</v>
      </c>
      <c r="J987" s="1">
        <v>120</v>
      </c>
      <c r="K987" s="1">
        <v>0.03</v>
      </c>
      <c r="L987" s="1">
        <v>3480</v>
      </c>
      <c r="M987" s="1">
        <v>3375.6</v>
      </c>
      <c r="N987" s="1">
        <v>3735.48</v>
      </c>
      <c r="O987" s="1">
        <v>0.9</v>
      </c>
      <c r="P987" s="2" t="s">
        <v>52</v>
      </c>
      <c r="Q987" s="14" t="s">
        <v>26</v>
      </c>
    </row>
    <row r="988" spans="1:17" x14ac:dyDescent="0.45">
      <c r="A988" s="10">
        <v>46154</v>
      </c>
      <c r="B988" s="1" t="s">
        <v>1059</v>
      </c>
      <c r="C988" s="1" t="s">
        <v>54</v>
      </c>
      <c r="D988" s="1" t="s">
        <v>15</v>
      </c>
      <c r="E988" s="1" t="s">
        <v>55</v>
      </c>
      <c r="F988" s="1" t="s">
        <v>51</v>
      </c>
      <c r="G988" s="1" t="s">
        <v>14</v>
      </c>
      <c r="H988" s="1" t="s">
        <v>18</v>
      </c>
      <c r="I988" s="1">
        <v>168</v>
      </c>
      <c r="J988" s="1">
        <v>250</v>
      </c>
      <c r="K988" s="1">
        <v>0.13</v>
      </c>
      <c r="L988" s="1">
        <v>42000</v>
      </c>
      <c r="M988" s="1">
        <v>36540</v>
      </c>
      <c r="N988" s="1">
        <v>32050.05</v>
      </c>
      <c r="O988" s="1">
        <v>1.1399999999999999</v>
      </c>
      <c r="P988" s="2" t="s">
        <v>52</v>
      </c>
      <c r="Q988" s="13" t="s">
        <v>32</v>
      </c>
    </row>
    <row r="989" spans="1:17" x14ac:dyDescent="0.45">
      <c r="A989" s="10">
        <v>46156</v>
      </c>
      <c r="B989" s="1" t="s">
        <v>1060</v>
      </c>
      <c r="C989" s="1" t="s">
        <v>58</v>
      </c>
      <c r="D989" s="1" t="s">
        <v>25</v>
      </c>
      <c r="E989" s="1" t="s">
        <v>68</v>
      </c>
      <c r="F989" s="1" t="s">
        <v>51</v>
      </c>
      <c r="G989" s="1" t="s">
        <v>20</v>
      </c>
      <c r="H989" s="1" t="s">
        <v>33</v>
      </c>
      <c r="I989" s="1">
        <v>165</v>
      </c>
      <c r="J989" s="1">
        <v>35</v>
      </c>
      <c r="K989" s="1">
        <v>0.01</v>
      </c>
      <c r="L989" s="1">
        <v>5775</v>
      </c>
      <c r="M989" s="1">
        <v>5717.25</v>
      </c>
      <c r="N989" s="1">
        <v>5443.16</v>
      </c>
      <c r="O989" s="1">
        <v>1.05</v>
      </c>
      <c r="P989" s="2" t="s">
        <v>73</v>
      </c>
      <c r="Q989" s="14" t="s">
        <v>32</v>
      </c>
    </row>
    <row r="990" spans="1:17" x14ac:dyDescent="0.45">
      <c r="A990" s="10">
        <v>46028</v>
      </c>
      <c r="B990" s="1" t="s">
        <v>1061</v>
      </c>
      <c r="C990" s="1" t="s">
        <v>64</v>
      </c>
      <c r="D990" s="1" t="s">
        <v>15</v>
      </c>
      <c r="E990" s="1" t="s">
        <v>62</v>
      </c>
      <c r="F990" s="1" t="s">
        <v>60</v>
      </c>
      <c r="G990" s="1" t="s">
        <v>24</v>
      </c>
      <c r="H990" s="1" t="s">
        <v>30</v>
      </c>
      <c r="I990" s="1">
        <v>67</v>
      </c>
      <c r="J990" s="1">
        <v>40</v>
      </c>
      <c r="K990" s="1">
        <v>0.05</v>
      </c>
      <c r="L990" s="1">
        <v>2680</v>
      </c>
      <c r="M990" s="1">
        <v>2546</v>
      </c>
      <c r="N990" s="1">
        <v>2619.59</v>
      </c>
      <c r="O990" s="1">
        <v>0.97</v>
      </c>
      <c r="P990" s="2" t="s">
        <v>52</v>
      </c>
      <c r="Q990" s="13" t="s">
        <v>16</v>
      </c>
    </row>
    <row r="991" spans="1:17" x14ac:dyDescent="0.45">
      <c r="A991" s="10">
        <v>46116</v>
      </c>
      <c r="B991" s="1" t="s">
        <v>1062</v>
      </c>
      <c r="C991" s="1" t="s">
        <v>58</v>
      </c>
      <c r="D991" s="1" t="s">
        <v>25</v>
      </c>
      <c r="E991" s="1" t="s">
        <v>68</v>
      </c>
      <c r="F991" s="1" t="s">
        <v>51</v>
      </c>
      <c r="G991" s="1" t="s">
        <v>20</v>
      </c>
      <c r="H991" s="1" t="s">
        <v>33</v>
      </c>
      <c r="I991" s="1">
        <v>44</v>
      </c>
      <c r="J991" s="1">
        <v>35</v>
      </c>
      <c r="K991" s="1">
        <v>0.11</v>
      </c>
      <c r="L991" s="1">
        <v>1540</v>
      </c>
      <c r="M991" s="1">
        <v>1370.6</v>
      </c>
      <c r="N991" s="1">
        <v>1600.1</v>
      </c>
      <c r="O991" s="1">
        <v>0.86</v>
      </c>
      <c r="P991" s="2" t="s">
        <v>52</v>
      </c>
      <c r="Q991" s="14" t="s">
        <v>29</v>
      </c>
    </row>
    <row r="992" spans="1:17" x14ac:dyDescent="0.45">
      <c r="A992" s="10">
        <v>46065</v>
      </c>
      <c r="B992" s="1" t="s">
        <v>1063</v>
      </c>
      <c r="C992" s="1" t="s">
        <v>64</v>
      </c>
      <c r="D992" s="1" t="s">
        <v>28</v>
      </c>
      <c r="E992" s="1" t="s">
        <v>65</v>
      </c>
      <c r="F992" s="1" t="s">
        <v>56</v>
      </c>
      <c r="G992" s="1" t="s">
        <v>14</v>
      </c>
      <c r="H992" s="1" t="s">
        <v>18</v>
      </c>
      <c r="I992" s="1">
        <v>187</v>
      </c>
      <c r="J992" s="1">
        <v>250</v>
      </c>
      <c r="K992" s="1">
        <v>0.03</v>
      </c>
      <c r="L992" s="1">
        <v>46750</v>
      </c>
      <c r="M992" s="1">
        <v>45347.5</v>
      </c>
      <c r="N992" s="1">
        <v>38877</v>
      </c>
      <c r="O992" s="1">
        <v>1.17</v>
      </c>
      <c r="P992" s="2" t="s">
        <v>73</v>
      </c>
      <c r="Q992" s="13" t="s">
        <v>22</v>
      </c>
    </row>
    <row r="993" spans="1:17" x14ac:dyDescent="0.45">
      <c r="A993" s="10">
        <v>46138</v>
      </c>
      <c r="B993" s="1" t="s">
        <v>1064</v>
      </c>
      <c r="C993" s="1" t="s">
        <v>67</v>
      </c>
      <c r="D993" s="1" t="s">
        <v>25</v>
      </c>
      <c r="E993" s="1" t="s">
        <v>104</v>
      </c>
      <c r="F993" s="1" t="s">
        <v>56</v>
      </c>
      <c r="G993" s="1" t="s">
        <v>14</v>
      </c>
      <c r="H993" s="1" t="s">
        <v>27</v>
      </c>
      <c r="I993" s="1">
        <v>157</v>
      </c>
      <c r="J993" s="1">
        <v>120</v>
      </c>
      <c r="K993" s="1">
        <v>0.15</v>
      </c>
      <c r="L993" s="1">
        <v>18840</v>
      </c>
      <c r="M993" s="1">
        <v>16014</v>
      </c>
      <c r="N993" s="1">
        <v>18261.150000000001</v>
      </c>
      <c r="O993" s="1">
        <v>0.88</v>
      </c>
      <c r="P993" s="2" t="s">
        <v>52</v>
      </c>
      <c r="Q993" s="14" t="s">
        <v>29</v>
      </c>
    </row>
    <row r="994" spans="1:17" x14ac:dyDescent="0.45">
      <c r="A994" s="10">
        <v>46107</v>
      </c>
      <c r="B994" s="1" t="s">
        <v>1065</v>
      </c>
      <c r="C994" s="1" t="s">
        <v>75</v>
      </c>
      <c r="D994" s="1" t="s">
        <v>15</v>
      </c>
      <c r="E994" s="1" t="s">
        <v>62</v>
      </c>
      <c r="F994" s="1" t="s">
        <v>51</v>
      </c>
      <c r="G994" s="1" t="s">
        <v>20</v>
      </c>
      <c r="H994" s="1" t="s">
        <v>23</v>
      </c>
      <c r="I994" s="1">
        <v>161</v>
      </c>
      <c r="J994" s="1">
        <v>180</v>
      </c>
      <c r="K994" s="1">
        <v>0.04</v>
      </c>
      <c r="L994" s="1">
        <v>28980</v>
      </c>
      <c r="M994" s="1">
        <v>27820.799999999999</v>
      </c>
      <c r="N994" s="1">
        <v>27940.31</v>
      </c>
      <c r="O994" s="1">
        <v>1</v>
      </c>
      <c r="P994" s="2" t="s">
        <v>52</v>
      </c>
      <c r="Q994" s="13" t="s">
        <v>26</v>
      </c>
    </row>
    <row r="995" spans="1:17" x14ac:dyDescent="0.45">
      <c r="A995" s="10">
        <v>46096</v>
      </c>
      <c r="B995" s="1" t="s">
        <v>1066</v>
      </c>
      <c r="C995" s="1" t="s">
        <v>49</v>
      </c>
      <c r="D995" s="1" t="s">
        <v>15</v>
      </c>
      <c r="E995" s="1" t="s">
        <v>62</v>
      </c>
      <c r="F995" s="1" t="s">
        <v>78</v>
      </c>
      <c r="G995" s="1" t="s">
        <v>24</v>
      </c>
      <c r="H995" s="1" t="s">
        <v>30</v>
      </c>
      <c r="I995" s="1">
        <v>57</v>
      </c>
      <c r="J995" s="1">
        <v>40</v>
      </c>
      <c r="K995" s="1">
        <v>0.1</v>
      </c>
      <c r="L995" s="1">
        <v>2280</v>
      </c>
      <c r="M995" s="1">
        <v>2052</v>
      </c>
      <c r="N995" s="1">
        <v>2315.9499999999998</v>
      </c>
      <c r="O995" s="1">
        <v>0.89</v>
      </c>
      <c r="P995" s="2" t="s">
        <v>73</v>
      </c>
      <c r="Q995" s="14" t="s">
        <v>26</v>
      </c>
    </row>
    <row r="996" spans="1:17" x14ac:dyDescent="0.45">
      <c r="A996" s="10">
        <v>46068</v>
      </c>
      <c r="B996" s="1" t="s">
        <v>1067</v>
      </c>
      <c r="C996" s="1" t="s">
        <v>75</v>
      </c>
      <c r="D996" s="1" t="s">
        <v>28</v>
      </c>
      <c r="E996" s="1" t="s">
        <v>65</v>
      </c>
      <c r="F996" s="1" t="s">
        <v>60</v>
      </c>
      <c r="G996" s="1" t="s">
        <v>20</v>
      </c>
      <c r="H996" s="1" t="s">
        <v>33</v>
      </c>
      <c r="I996" s="1">
        <v>171</v>
      </c>
      <c r="J996" s="1">
        <v>35</v>
      </c>
      <c r="K996" s="1">
        <v>7.0000000000000007E-2</v>
      </c>
      <c r="L996" s="1">
        <v>5985</v>
      </c>
      <c r="M996" s="1">
        <v>5566.05</v>
      </c>
      <c r="N996" s="1">
        <v>5383.34</v>
      </c>
      <c r="O996" s="1">
        <v>1.03</v>
      </c>
      <c r="P996" s="2" t="s">
        <v>52</v>
      </c>
      <c r="Q996" s="13" t="s">
        <v>22</v>
      </c>
    </row>
    <row r="997" spans="1:17" x14ac:dyDescent="0.45">
      <c r="A997" s="10">
        <v>46170</v>
      </c>
      <c r="B997" s="1" t="s">
        <v>1068</v>
      </c>
      <c r="C997" s="1" t="s">
        <v>64</v>
      </c>
      <c r="D997" s="1" t="s">
        <v>15</v>
      </c>
      <c r="E997" s="1" t="s">
        <v>55</v>
      </c>
      <c r="F997" s="1" t="s">
        <v>71</v>
      </c>
      <c r="G997" s="1" t="s">
        <v>20</v>
      </c>
      <c r="H997" s="1" t="s">
        <v>33</v>
      </c>
      <c r="I997" s="1">
        <v>22</v>
      </c>
      <c r="J997" s="1">
        <v>35</v>
      </c>
      <c r="K997" s="1">
        <v>0.15</v>
      </c>
      <c r="L997" s="1">
        <v>770</v>
      </c>
      <c r="M997" s="1">
        <v>654.5</v>
      </c>
      <c r="N997" s="1">
        <v>632.71</v>
      </c>
      <c r="O997" s="1">
        <v>1.03</v>
      </c>
      <c r="P997" s="2" t="s">
        <v>52</v>
      </c>
      <c r="Q997" s="14" t="s">
        <v>32</v>
      </c>
    </row>
    <row r="998" spans="1:17" x14ac:dyDescent="0.45">
      <c r="A998" s="10">
        <v>46203</v>
      </c>
      <c r="B998" s="1" t="s">
        <v>1069</v>
      </c>
      <c r="C998" s="1" t="s">
        <v>58</v>
      </c>
      <c r="D998" s="1" t="s">
        <v>15</v>
      </c>
      <c r="E998" s="1" t="s">
        <v>55</v>
      </c>
      <c r="F998" s="1" t="s">
        <v>71</v>
      </c>
      <c r="G998" s="1" t="s">
        <v>14</v>
      </c>
      <c r="H998" s="1" t="s">
        <v>18</v>
      </c>
      <c r="I998" s="1">
        <v>181</v>
      </c>
      <c r="J998" s="1">
        <v>250</v>
      </c>
      <c r="K998" s="1">
        <v>0.06</v>
      </c>
      <c r="L998" s="1">
        <v>45250</v>
      </c>
      <c r="M998" s="1">
        <v>42535</v>
      </c>
      <c r="N998" s="1">
        <v>45639.76</v>
      </c>
      <c r="O998" s="1">
        <v>0.93</v>
      </c>
      <c r="P998" s="2" t="s">
        <v>73</v>
      </c>
      <c r="Q998" s="13" t="s">
        <v>34</v>
      </c>
    </row>
    <row r="999" spans="1:17" x14ac:dyDescent="0.45">
      <c r="A999" s="10">
        <v>46130</v>
      </c>
      <c r="B999" s="1" t="s">
        <v>1070</v>
      </c>
      <c r="C999" s="1" t="s">
        <v>58</v>
      </c>
      <c r="D999" s="1" t="s">
        <v>15</v>
      </c>
      <c r="E999" s="1" t="s">
        <v>55</v>
      </c>
      <c r="F999" s="1" t="s">
        <v>60</v>
      </c>
      <c r="G999" s="1" t="s">
        <v>24</v>
      </c>
      <c r="H999" s="1" t="s">
        <v>30</v>
      </c>
      <c r="I999" s="1">
        <v>185</v>
      </c>
      <c r="J999" s="1">
        <v>40</v>
      </c>
      <c r="K999" s="1">
        <v>0.14000000000000001</v>
      </c>
      <c r="L999" s="1">
        <v>7400</v>
      </c>
      <c r="M999" s="1">
        <v>6364</v>
      </c>
      <c r="N999" s="1">
        <v>5317.56</v>
      </c>
      <c r="O999" s="1">
        <v>1.2</v>
      </c>
      <c r="P999" s="2" t="s">
        <v>52</v>
      </c>
      <c r="Q999" s="14" t="s">
        <v>29</v>
      </c>
    </row>
    <row r="1000" spans="1:17" x14ac:dyDescent="0.45">
      <c r="A1000" s="10">
        <v>46074</v>
      </c>
      <c r="B1000" s="1" t="s">
        <v>1071</v>
      </c>
      <c r="C1000" s="1" t="s">
        <v>54</v>
      </c>
      <c r="D1000" s="1" t="s">
        <v>28</v>
      </c>
      <c r="E1000" s="1" t="s">
        <v>82</v>
      </c>
      <c r="F1000" s="1" t="s">
        <v>56</v>
      </c>
      <c r="G1000" s="1" t="s">
        <v>14</v>
      </c>
      <c r="H1000" s="1" t="s">
        <v>27</v>
      </c>
      <c r="I1000" s="1">
        <v>6</v>
      </c>
      <c r="J1000" s="1">
        <v>120</v>
      </c>
      <c r="K1000" s="1">
        <v>0.14000000000000001</v>
      </c>
      <c r="L1000" s="1">
        <v>720</v>
      </c>
      <c r="M1000" s="1">
        <v>619.20000000000005</v>
      </c>
      <c r="N1000" s="1">
        <v>581.86</v>
      </c>
      <c r="O1000" s="1">
        <v>1.06</v>
      </c>
      <c r="P1000" s="2" t="s">
        <v>52</v>
      </c>
      <c r="Q1000" s="13" t="s">
        <v>22</v>
      </c>
    </row>
    <row r="1001" spans="1:17" x14ac:dyDescent="0.45">
      <c r="A1001" s="11">
        <v>46101</v>
      </c>
      <c r="B1001" s="5" t="s">
        <v>1072</v>
      </c>
      <c r="C1001" s="5" t="s">
        <v>58</v>
      </c>
      <c r="D1001" s="5" t="s">
        <v>21</v>
      </c>
      <c r="E1001" s="5" t="s">
        <v>80</v>
      </c>
      <c r="F1001" s="5" t="s">
        <v>60</v>
      </c>
      <c r="G1001" s="5" t="s">
        <v>20</v>
      </c>
      <c r="H1001" s="5" t="s">
        <v>33</v>
      </c>
      <c r="I1001" s="5">
        <v>20</v>
      </c>
      <c r="J1001" s="5">
        <v>35</v>
      </c>
      <c r="K1001" s="5">
        <v>0.14000000000000001</v>
      </c>
      <c r="L1001" s="5">
        <v>700</v>
      </c>
      <c r="M1001" s="5">
        <v>602</v>
      </c>
      <c r="N1001" s="5">
        <v>618.42999999999995</v>
      </c>
      <c r="O1001" s="5">
        <v>0.97</v>
      </c>
      <c r="P1001" s="6" t="s">
        <v>73</v>
      </c>
      <c r="Q1001" s="22" t="s">
        <v>26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
  <sheetViews>
    <sheetView workbookViewId="0">
      <selection activeCell="F12" sqref="F12"/>
    </sheetView>
  </sheetViews>
  <sheetFormatPr defaultRowHeight="14.25" x14ac:dyDescent="0.45"/>
  <cols>
    <col min="1" max="1" width="8.06640625" bestFit="1" customWidth="1"/>
    <col min="2" max="2" width="12.53125" bestFit="1" customWidth="1"/>
    <col min="3" max="3" width="8.265625" bestFit="1" customWidth="1"/>
    <col min="4" max="4" width="11.3984375" bestFit="1" customWidth="1"/>
    <col min="5" max="5" width="11.9296875" bestFit="1" customWidth="1"/>
    <col min="6" max="6" width="10.6640625" bestFit="1" customWidth="1"/>
  </cols>
  <sheetData>
    <row r="1" spans="1:6" x14ac:dyDescent="0.45">
      <c r="A1" s="8" t="s">
        <v>1073</v>
      </c>
      <c r="B1" s="8" t="s">
        <v>1074</v>
      </c>
      <c r="C1" s="8" t="s">
        <v>1075</v>
      </c>
      <c r="D1" s="8" t="s">
        <v>1076</v>
      </c>
      <c r="E1" s="8" t="s">
        <v>1077</v>
      </c>
      <c r="F1" s="8" t="s">
        <v>1078</v>
      </c>
    </row>
    <row r="2" spans="1:6" x14ac:dyDescent="0.45">
      <c r="A2" s="9" t="s">
        <v>27</v>
      </c>
      <c r="B2" s="9">
        <v>1455</v>
      </c>
      <c r="C2" s="9">
        <v>803</v>
      </c>
      <c r="D2" s="9">
        <v>652</v>
      </c>
      <c r="E2" s="9">
        <v>300</v>
      </c>
      <c r="F2" s="9" t="str">
        <f t="shared" ref="F2:F7" si="0">IF(D2&lt;E2,"Reorder","Available")</f>
        <v>Available</v>
      </c>
    </row>
    <row r="3" spans="1:6" x14ac:dyDescent="0.45">
      <c r="A3" s="9" t="s">
        <v>18</v>
      </c>
      <c r="B3" s="9">
        <v>755</v>
      </c>
      <c r="C3" s="9">
        <v>137</v>
      </c>
      <c r="D3" s="9">
        <v>618</v>
      </c>
      <c r="E3" s="9">
        <v>300</v>
      </c>
      <c r="F3" s="9" t="str">
        <f t="shared" si="0"/>
        <v>Available</v>
      </c>
    </row>
    <row r="4" spans="1:6" x14ac:dyDescent="0.45">
      <c r="A4" s="9" t="s">
        <v>30</v>
      </c>
      <c r="B4" s="9">
        <v>1568</v>
      </c>
      <c r="C4" s="9">
        <v>719</v>
      </c>
      <c r="D4" s="9">
        <v>849</v>
      </c>
      <c r="E4" s="9">
        <v>300</v>
      </c>
      <c r="F4" s="9" t="str">
        <f t="shared" si="0"/>
        <v>Available</v>
      </c>
    </row>
    <row r="5" spans="1:6" x14ac:dyDescent="0.45">
      <c r="A5" s="9" t="s">
        <v>35</v>
      </c>
      <c r="B5" s="9">
        <v>1865</v>
      </c>
      <c r="C5" s="9">
        <v>1307</v>
      </c>
      <c r="D5" s="9">
        <v>558</v>
      </c>
      <c r="E5" s="9">
        <v>300</v>
      </c>
      <c r="F5" s="9" t="str">
        <f t="shared" si="0"/>
        <v>Available</v>
      </c>
    </row>
    <row r="6" spans="1:6" x14ac:dyDescent="0.45">
      <c r="A6" s="9" t="s">
        <v>33</v>
      </c>
      <c r="B6" s="9">
        <v>1812</v>
      </c>
      <c r="C6" s="9">
        <v>811</v>
      </c>
      <c r="D6" s="9">
        <v>1001</v>
      </c>
      <c r="E6" s="9">
        <v>300</v>
      </c>
      <c r="F6" s="9" t="str">
        <f t="shared" si="0"/>
        <v>Available</v>
      </c>
    </row>
    <row r="7" spans="1:6" x14ac:dyDescent="0.45">
      <c r="A7" s="9" t="s">
        <v>23</v>
      </c>
      <c r="B7" s="9">
        <v>1140</v>
      </c>
      <c r="C7" s="9">
        <v>223</v>
      </c>
      <c r="D7" s="9">
        <v>917</v>
      </c>
      <c r="E7" s="9">
        <v>300</v>
      </c>
      <c r="F7" s="9" t="str">
        <f t="shared" si="0"/>
        <v>Available</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1A643-2DE3-46B3-B604-8D4A89A60386}">
  <dimension ref="A2:Q37"/>
  <sheetViews>
    <sheetView workbookViewId="0">
      <selection activeCell="N30" sqref="N30"/>
    </sheetView>
  </sheetViews>
  <sheetFormatPr defaultRowHeight="14.25" x14ac:dyDescent="0.45"/>
  <cols>
    <col min="1" max="6" width="14.73046875" bestFit="1" customWidth="1"/>
    <col min="7" max="7" width="17.796875" bestFit="1" customWidth="1"/>
    <col min="8" max="8" width="6.9296875" bestFit="1" customWidth="1"/>
    <col min="11" max="11" width="21.1328125" bestFit="1" customWidth="1"/>
    <col min="16" max="16" width="15.9296875" bestFit="1" customWidth="1"/>
    <col min="17" max="17" width="15.19921875" bestFit="1" customWidth="1"/>
  </cols>
  <sheetData>
    <row r="2" spans="1:17" ht="15.4" x14ac:dyDescent="0.45"/>
    <row r="3" spans="1:17" ht="16.5" x14ac:dyDescent="0.45">
      <c r="A3" s="33" t="s">
        <v>2</v>
      </c>
      <c r="B3" s="33"/>
      <c r="C3" s="33"/>
      <c r="E3" s="33" t="s">
        <v>3</v>
      </c>
      <c r="F3" s="33"/>
      <c r="G3" s="33"/>
      <c r="H3" s="33"/>
    </row>
    <row r="4" spans="1:17" ht="15.4" x14ac:dyDescent="0.45">
      <c r="A4" s="36" t="s">
        <v>6</v>
      </c>
      <c r="B4" s="36" t="s">
        <v>1080</v>
      </c>
      <c r="C4" s="36" t="s">
        <v>1081</v>
      </c>
      <c r="E4" s="36" t="s">
        <v>8</v>
      </c>
      <c r="F4" s="36" t="s">
        <v>1080</v>
      </c>
      <c r="G4" s="36" t="s">
        <v>1084</v>
      </c>
      <c r="H4" s="19" t="s">
        <v>10</v>
      </c>
      <c r="J4" s="36" t="s">
        <v>1085</v>
      </c>
      <c r="K4" s="36" t="s">
        <v>1083</v>
      </c>
      <c r="L4" s="36"/>
      <c r="M4" s="36"/>
      <c r="N4" s="36"/>
      <c r="O4" s="36"/>
      <c r="P4" s="36"/>
      <c r="Q4" s="36"/>
    </row>
    <row r="5" spans="1:17" ht="15.4" x14ac:dyDescent="0.45">
      <c r="A5" s="36" t="s">
        <v>14</v>
      </c>
      <c r="B5" s="40">
        <v>4891483.0999999987</v>
      </c>
      <c r="C5" s="41">
        <v>0.5236843614815444</v>
      </c>
      <c r="E5" s="37" t="s">
        <v>15</v>
      </c>
      <c r="F5" s="38">
        <v>2518743.1499999994</v>
      </c>
      <c r="G5" s="38">
        <v>2542442.5100000021</v>
      </c>
      <c r="H5" s="16">
        <f>F5/G5</f>
        <v>0.99067850702354621</v>
      </c>
      <c r="J5" s="36" t="s">
        <v>6</v>
      </c>
      <c r="K5" s="36" t="s">
        <v>35</v>
      </c>
      <c r="L5" s="36" t="s">
        <v>30</v>
      </c>
      <c r="M5" s="36" t="s">
        <v>18</v>
      </c>
      <c r="N5" s="36" t="s">
        <v>23</v>
      </c>
      <c r="O5" s="36" t="s">
        <v>33</v>
      </c>
      <c r="P5" s="36" t="s">
        <v>27</v>
      </c>
      <c r="Q5" s="36" t="s">
        <v>1082</v>
      </c>
    </row>
    <row r="6" spans="1:17" ht="15.4" x14ac:dyDescent="0.45">
      <c r="A6" s="36" t="s">
        <v>20</v>
      </c>
      <c r="B6" s="40">
        <v>3339849.799999998</v>
      </c>
      <c r="C6" s="41">
        <v>0.35756580861073878</v>
      </c>
      <c r="E6" s="37" t="s">
        <v>25</v>
      </c>
      <c r="F6" s="38">
        <v>2292004.1999999979</v>
      </c>
      <c r="G6" s="38">
        <v>2321992.0700000003</v>
      </c>
      <c r="H6" s="16">
        <f>F6/G6</f>
        <v>0.98708528319823141</v>
      </c>
      <c r="J6" s="36" t="s">
        <v>1086</v>
      </c>
      <c r="K6" s="42">
        <v>1942</v>
      </c>
      <c r="L6" s="42">
        <v>3609</v>
      </c>
      <c r="M6" s="42">
        <v>2074</v>
      </c>
      <c r="N6" s="42">
        <v>3548</v>
      </c>
      <c r="O6" s="42">
        <v>2092</v>
      </c>
      <c r="P6" s="42">
        <v>1428</v>
      </c>
      <c r="Q6" s="42">
        <v>14693</v>
      </c>
    </row>
    <row r="7" spans="1:17" ht="15.4" x14ac:dyDescent="0.45">
      <c r="A7" s="36" t="s">
        <v>24</v>
      </c>
      <c r="B7" s="40">
        <v>1109184.8999999997</v>
      </c>
      <c r="C7" s="41">
        <v>0.11874982990771668</v>
      </c>
      <c r="E7" s="37" t="s">
        <v>28</v>
      </c>
      <c r="F7" s="38">
        <v>2205749.4999999995</v>
      </c>
      <c r="G7" s="38">
        <v>2237089.8599999994</v>
      </c>
      <c r="H7" s="16">
        <f>F7/G7</f>
        <v>0.98599056722737111</v>
      </c>
      <c r="J7" s="36" t="s">
        <v>1087</v>
      </c>
      <c r="K7" s="42">
        <v>3615</v>
      </c>
      <c r="L7" s="42">
        <v>2614</v>
      </c>
      <c r="M7" s="42">
        <v>1949</v>
      </c>
      <c r="N7" s="42">
        <v>2353</v>
      </c>
      <c r="O7" s="42">
        <v>2800</v>
      </c>
      <c r="P7" s="42">
        <v>1834</v>
      </c>
      <c r="Q7" s="42">
        <v>15165</v>
      </c>
    </row>
    <row r="8" spans="1:17" ht="15.4" x14ac:dyDescent="0.45">
      <c r="A8" s="36" t="s">
        <v>1082</v>
      </c>
      <c r="B8" s="40">
        <v>9340517.799999997</v>
      </c>
      <c r="C8" s="41">
        <v>1</v>
      </c>
      <c r="E8" s="37" t="s">
        <v>21</v>
      </c>
      <c r="F8" s="38">
        <v>2324020.9499999997</v>
      </c>
      <c r="G8" s="38">
        <v>2285677.2399999988</v>
      </c>
      <c r="H8" s="16">
        <f>F8/G8</f>
        <v>1.016775645016267</v>
      </c>
      <c r="J8" s="36" t="s">
        <v>1088</v>
      </c>
      <c r="K8" s="42">
        <v>4102</v>
      </c>
      <c r="L8" s="42">
        <v>1898</v>
      </c>
      <c r="M8" s="42">
        <v>1992</v>
      </c>
      <c r="N8" s="42">
        <v>2221</v>
      </c>
      <c r="O8" s="42">
        <v>3565</v>
      </c>
      <c r="P8" s="42">
        <v>2365</v>
      </c>
      <c r="Q8" s="42">
        <v>16143</v>
      </c>
    </row>
    <row r="9" spans="1:17" ht="15.4" x14ac:dyDescent="0.45">
      <c r="E9" s="36" t="s">
        <v>1082</v>
      </c>
      <c r="F9" s="39">
        <v>9340517.799999997</v>
      </c>
      <c r="G9" s="39">
        <v>9387201.6799999997</v>
      </c>
      <c r="H9" s="18">
        <f>F9/G9</f>
        <v>0.99502685873901431</v>
      </c>
      <c r="J9" s="36" t="s">
        <v>1089</v>
      </c>
      <c r="K9" s="42">
        <v>2370</v>
      </c>
      <c r="L9" s="42">
        <v>3696</v>
      </c>
      <c r="M9" s="42">
        <v>2547</v>
      </c>
      <c r="N9" s="42">
        <v>1583</v>
      </c>
      <c r="O9" s="42">
        <v>3326</v>
      </c>
      <c r="P9" s="42">
        <v>2639</v>
      </c>
      <c r="Q9" s="42">
        <v>16161</v>
      </c>
    </row>
    <row r="10" spans="1:17" ht="15.4" x14ac:dyDescent="0.45">
      <c r="J10" s="36" t="s">
        <v>1090</v>
      </c>
      <c r="K10" s="42">
        <v>2300</v>
      </c>
      <c r="L10" s="42">
        <v>2967</v>
      </c>
      <c r="M10" s="42">
        <v>1847</v>
      </c>
      <c r="N10" s="42">
        <v>3240</v>
      </c>
      <c r="O10" s="42">
        <v>3955</v>
      </c>
      <c r="P10" s="42">
        <v>2878</v>
      </c>
      <c r="Q10" s="42">
        <v>17187</v>
      </c>
    </row>
    <row r="11" spans="1:17" ht="15.4" x14ac:dyDescent="0.45">
      <c r="J11" s="36" t="s">
        <v>1091</v>
      </c>
      <c r="K11" s="42">
        <v>2372</v>
      </c>
      <c r="L11" s="42">
        <v>2695</v>
      </c>
      <c r="M11" s="42">
        <v>3959</v>
      </c>
      <c r="N11" s="42">
        <v>3418</v>
      </c>
      <c r="O11" s="42">
        <v>3507</v>
      </c>
      <c r="P11" s="42">
        <v>2952</v>
      </c>
      <c r="Q11" s="42">
        <v>18903</v>
      </c>
    </row>
    <row r="12" spans="1:17" ht="15.4" x14ac:dyDescent="0.45">
      <c r="J12" s="36" t="s">
        <v>1082</v>
      </c>
      <c r="K12" s="42">
        <v>16701</v>
      </c>
      <c r="L12" s="42">
        <v>17479</v>
      </c>
      <c r="M12" s="42">
        <v>14368</v>
      </c>
      <c r="N12" s="42">
        <v>16363</v>
      </c>
      <c r="O12" s="42">
        <v>19245</v>
      </c>
      <c r="P12" s="42">
        <v>14096</v>
      </c>
      <c r="Q12" s="42">
        <v>98252</v>
      </c>
    </row>
    <row r="13" spans="1:17" ht="16.5" x14ac:dyDescent="0.45">
      <c r="A13" s="33" t="s">
        <v>4</v>
      </c>
      <c r="B13" s="33"/>
      <c r="C13" s="33"/>
      <c r="E13" s="33" t="s">
        <v>5</v>
      </c>
      <c r="F13" s="33"/>
      <c r="G13" s="33"/>
    </row>
    <row r="14" spans="1:17" ht="15.4" x14ac:dyDescent="0.45">
      <c r="A14" s="36" t="s">
        <v>6</v>
      </c>
      <c r="B14" s="36" t="s">
        <v>1080</v>
      </c>
      <c r="C14" s="17" t="s">
        <v>11</v>
      </c>
      <c r="E14" s="36" t="s">
        <v>6</v>
      </c>
      <c r="F14" s="36" t="s">
        <v>1080</v>
      </c>
      <c r="G14" s="36" t="s">
        <v>1085</v>
      </c>
      <c r="J14" s="36" t="s">
        <v>6</v>
      </c>
      <c r="K14" s="36" t="s">
        <v>1085</v>
      </c>
      <c r="M14" s="24" t="s">
        <v>8</v>
      </c>
      <c r="N14" s="25" t="s">
        <v>7</v>
      </c>
      <c r="P14" s="36" t="s">
        <v>6</v>
      </c>
      <c r="Q14" s="36" t="s">
        <v>1080</v>
      </c>
    </row>
    <row r="15" spans="1:17" ht="15.4" x14ac:dyDescent="0.45">
      <c r="A15" s="36" t="s">
        <v>1086</v>
      </c>
      <c r="B15" s="39">
        <v>1493583.6500000001</v>
      </c>
      <c r="C15" t="s">
        <v>17</v>
      </c>
      <c r="E15" s="36" t="s">
        <v>35</v>
      </c>
      <c r="F15" s="40">
        <v>462342.90000000031</v>
      </c>
      <c r="G15" s="40">
        <v>16701</v>
      </c>
      <c r="J15" s="36" t="s">
        <v>59</v>
      </c>
      <c r="K15" s="42">
        <v>5877</v>
      </c>
      <c r="M15" s="15" t="s">
        <v>28</v>
      </c>
      <c r="N15" s="2">
        <f>SUMIF('Sales Data'!D2:D1001,M15,'Sales Data'!M2:M1001)</f>
        <v>2205749.4999999995</v>
      </c>
      <c r="P15" s="36" t="s">
        <v>52</v>
      </c>
      <c r="Q15" s="40">
        <v>5096165.4000000004</v>
      </c>
    </row>
    <row r="16" spans="1:17" ht="15.4" x14ac:dyDescent="0.45">
      <c r="A16" s="36" t="s">
        <v>1087</v>
      </c>
      <c r="B16" s="39">
        <v>1326844.3500000003</v>
      </c>
      <c r="C16" s="16">
        <f t="shared" ref="C16:C21" si="0">(B16-B15)/B15</f>
        <v>-0.11163706833560999</v>
      </c>
      <c r="E16" s="36" t="s">
        <v>30</v>
      </c>
      <c r="F16" s="40">
        <v>646842.00000000047</v>
      </c>
      <c r="G16" s="40">
        <v>17479</v>
      </c>
      <c r="J16" s="36" t="s">
        <v>98</v>
      </c>
      <c r="K16" s="42">
        <v>8558</v>
      </c>
      <c r="M16" s="15" t="s">
        <v>25</v>
      </c>
      <c r="N16" s="2">
        <f>SUMIF('Sales Data'!D2:D1001,M16,'Sales Data'!M2:M1001)</f>
        <v>2292004.1999999979</v>
      </c>
      <c r="P16" s="36" t="s">
        <v>73</v>
      </c>
      <c r="Q16" s="40">
        <v>4244352.3999999985</v>
      </c>
    </row>
    <row r="17" spans="1:17" ht="15.4" x14ac:dyDescent="0.45">
      <c r="A17" s="36" t="s">
        <v>1088</v>
      </c>
      <c r="B17" s="39">
        <v>1394355.3499999999</v>
      </c>
      <c r="C17" s="16">
        <f t="shared" si="0"/>
        <v>5.0880873856831446E-2</v>
      </c>
      <c r="E17" s="36" t="s">
        <v>18</v>
      </c>
      <c r="F17" s="40">
        <v>3326307.5</v>
      </c>
      <c r="G17" s="40">
        <v>14368</v>
      </c>
      <c r="J17" s="36" t="s">
        <v>50</v>
      </c>
      <c r="K17" s="42">
        <v>11215</v>
      </c>
      <c r="M17" s="15" t="s">
        <v>21</v>
      </c>
      <c r="N17" s="2">
        <f>SUMIF('Sales Data'!D2:D1001,M17,'Sales Data'!M2:M1001)</f>
        <v>2324020.9499999997</v>
      </c>
      <c r="P17" s="36" t="s">
        <v>1082</v>
      </c>
      <c r="Q17" s="40">
        <v>9340517.7999999989</v>
      </c>
    </row>
    <row r="18" spans="1:17" ht="15.4" x14ac:dyDescent="0.45">
      <c r="A18" s="36" t="s">
        <v>1089</v>
      </c>
      <c r="B18" s="39">
        <v>1460733.9499999997</v>
      </c>
      <c r="C18" s="16">
        <f t="shared" si="0"/>
        <v>4.7605224880443761E-2</v>
      </c>
      <c r="E18" s="36" t="s">
        <v>23</v>
      </c>
      <c r="F18" s="40">
        <v>2719281.5999999992</v>
      </c>
      <c r="G18" s="40">
        <v>16363</v>
      </c>
      <c r="J18" s="36" t="s">
        <v>104</v>
      </c>
      <c r="K18" s="42">
        <v>7650</v>
      </c>
      <c r="M18" s="12" t="s">
        <v>15</v>
      </c>
      <c r="N18" s="6">
        <f>SUMIF('Sales Data'!D2:D1001,M18,'Sales Data'!M2:M1001)</f>
        <v>2518743.1499999994</v>
      </c>
    </row>
    <row r="19" spans="1:17" ht="15.4" x14ac:dyDescent="0.45">
      <c r="A19" s="36" t="s">
        <v>1090</v>
      </c>
      <c r="B19" s="39">
        <v>1588763.15</v>
      </c>
      <c r="C19" s="16">
        <f t="shared" si="0"/>
        <v>8.7647172163007658E-2</v>
      </c>
      <c r="E19" s="36" t="s">
        <v>33</v>
      </c>
      <c r="F19" s="40">
        <v>620568.20000000007</v>
      </c>
      <c r="G19" s="40">
        <v>19245</v>
      </c>
      <c r="J19" s="36" t="s">
        <v>82</v>
      </c>
      <c r="K19" s="42">
        <v>5112</v>
      </c>
    </row>
    <row r="20" spans="1:17" ht="15.4" x14ac:dyDescent="0.45">
      <c r="A20" s="36" t="s">
        <v>1091</v>
      </c>
      <c r="B20" s="39">
        <v>2076237.3499999992</v>
      </c>
      <c r="C20" s="16">
        <f t="shared" si="0"/>
        <v>0.30682622516767166</v>
      </c>
      <c r="E20" s="36" t="s">
        <v>27</v>
      </c>
      <c r="F20" s="40">
        <v>1565175.6000000003</v>
      </c>
      <c r="G20" s="40">
        <v>14096</v>
      </c>
      <c r="J20" s="36" t="s">
        <v>80</v>
      </c>
      <c r="K20" s="42">
        <v>13514</v>
      </c>
    </row>
    <row r="21" spans="1:17" ht="15.4" x14ac:dyDescent="0.45">
      <c r="A21" s="36" t="s">
        <v>1082</v>
      </c>
      <c r="B21" s="39">
        <v>9340517.8000000007</v>
      </c>
      <c r="C21" s="18">
        <f t="shared" si="0"/>
        <v>3.4987716842681804</v>
      </c>
      <c r="E21" s="36" t="s">
        <v>1082</v>
      </c>
      <c r="F21" s="40">
        <v>9340517.8000000007</v>
      </c>
      <c r="G21" s="40">
        <v>98252</v>
      </c>
      <c r="J21" s="36" t="s">
        <v>62</v>
      </c>
      <c r="K21" s="42">
        <v>13081</v>
      </c>
    </row>
    <row r="22" spans="1:17" ht="15.4" x14ac:dyDescent="0.45">
      <c r="J22" s="36" t="s">
        <v>68</v>
      </c>
      <c r="K22" s="42">
        <v>8275</v>
      </c>
    </row>
    <row r="23" spans="1:17" ht="15.4" x14ac:dyDescent="0.45">
      <c r="J23" s="36" t="s">
        <v>65</v>
      </c>
      <c r="K23" s="42">
        <v>7147</v>
      </c>
    </row>
    <row r="24" spans="1:17" ht="15.4" x14ac:dyDescent="0.45">
      <c r="J24" s="36" t="s">
        <v>70</v>
      </c>
      <c r="K24" s="42">
        <v>5977</v>
      </c>
    </row>
    <row r="25" spans="1:17" ht="15.4" x14ac:dyDescent="0.45">
      <c r="J25" s="36" t="s">
        <v>55</v>
      </c>
      <c r="K25" s="42">
        <v>11846</v>
      </c>
    </row>
    <row r="26" spans="1:17" ht="15.4" x14ac:dyDescent="0.45">
      <c r="J26" s="36" t="s">
        <v>1082</v>
      </c>
      <c r="K26" s="42">
        <v>98252</v>
      </c>
    </row>
    <row r="27" spans="1:17" x14ac:dyDescent="0.45">
      <c r="M27" s="34"/>
    </row>
    <row r="32" spans="1:17" ht="15.4" x14ac:dyDescent="0.45"/>
    <row r="33" ht="15.4" x14ac:dyDescent="0.45"/>
    <row r="34" ht="15.4" x14ac:dyDescent="0.45"/>
    <row r="35" ht="15.4" x14ac:dyDescent="0.45"/>
    <row r="36" ht="15.4" x14ac:dyDescent="0.45"/>
    <row r="37" ht="15.4" x14ac:dyDescent="0.45"/>
  </sheetData>
  <mergeCells count="4">
    <mergeCell ref="A3:C3"/>
    <mergeCell ref="E3:H3"/>
    <mergeCell ref="A13:C13"/>
    <mergeCell ref="E13:G13"/>
  </mergeCells>
  <pageMargins left="0.7" right="0.7" top="0.75" bottom="0.75" header="0.3" footer="0.3"/>
  <tableParts count="1">
    <tablePart r:id="rId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Sales Data</vt:lpstr>
      <vt:lpstr>Inventory</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t30557</cp:lastModifiedBy>
  <dcterms:created xsi:type="dcterms:W3CDTF">2026-07-31T09:43:03Z</dcterms:created>
  <dcterms:modified xsi:type="dcterms:W3CDTF">2026-07-31T15:18:13Z</dcterms:modified>
</cp:coreProperties>
</file>